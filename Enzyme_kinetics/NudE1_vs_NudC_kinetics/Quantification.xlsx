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Lab Members\Maik\Project_NAD-captureSeq_final_data\NudE1_vs_NudC_kinetics\"/>
    </mc:Choice>
  </mc:AlternateContent>
  <bookViews>
    <workbookView xWindow="0" yWindow="0" windowWidth="21570" windowHeight="9405" firstSheet="2" activeTab="7"/>
  </bookViews>
  <sheets>
    <sheet name="NudE.1 M1 R1" sheetId="1" r:id="rId1"/>
    <sheet name="NudE.1 WT, NudC WT R1" sheetId="2" r:id="rId2"/>
    <sheet name="NudE.1 WT and M1, NudC WT R2" sheetId="3" r:id="rId3"/>
    <sheet name="NudE.1 WT R2 repeated" sheetId="5" r:id="rId4"/>
    <sheet name="NudE.1 WT and M1, NudC WT R3" sheetId="4" r:id="rId5"/>
    <sheet name="Summarised data" sheetId="6" r:id="rId6"/>
    <sheet name="NAD-RNA-decapping" sheetId="7" r:id="rId7"/>
    <sheet name="P-RNA-increase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7" i="6" l="1"/>
  <c r="K47" i="6"/>
  <c r="J48" i="6"/>
  <c r="K48" i="6"/>
  <c r="J49" i="6"/>
  <c r="K49" i="6"/>
  <c r="J50" i="6"/>
  <c r="K50" i="6"/>
  <c r="J51" i="6"/>
  <c r="K51" i="6"/>
  <c r="J52" i="6"/>
  <c r="K52" i="6"/>
  <c r="J53" i="6"/>
  <c r="K53" i="6"/>
  <c r="K46" i="6"/>
  <c r="J46" i="6"/>
  <c r="J39" i="6"/>
  <c r="K39" i="6"/>
  <c r="J40" i="6"/>
  <c r="K40" i="6"/>
  <c r="J41" i="6"/>
  <c r="K41" i="6"/>
  <c r="J42" i="6"/>
  <c r="K42" i="6"/>
  <c r="J43" i="6"/>
  <c r="K43" i="6"/>
  <c r="J44" i="6"/>
  <c r="K44" i="6"/>
  <c r="J45" i="6"/>
  <c r="K45" i="6"/>
  <c r="K38" i="6"/>
  <c r="J38" i="6"/>
  <c r="J31" i="6"/>
  <c r="K31" i="6"/>
  <c r="J32" i="6"/>
  <c r="K32" i="6"/>
  <c r="J33" i="6"/>
  <c r="K33" i="6"/>
  <c r="J34" i="6"/>
  <c r="K34" i="6"/>
  <c r="J35" i="6"/>
  <c r="K35" i="6"/>
  <c r="J36" i="6"/>
  <c r="K36" i="6"/>
  <c r="J37" i="6"/>
  <c r="K37" i="6"/>
  <c r="K30" i="6"/>
  <c r="J30" i="6"/>
  <c r="D47" i="6"/>
  <c r="E47" i="6"/>
  <c r="D48" i="6"/>
  <c r="E48" i="6"/>
  <c r="D49" i="6"/>
  <c r="E49" i="6"/>
  <c r="D50" i="6"/>
  <c r="E50" i="6"/>
  <c r="D51" i="6"/>
  <c r="E51" i="6"/>
  <c r="D52" i="6"/>
  <c r="E52" i="6"/>
  <c r="D53" i="6"/>
  <c r="E53" i="6"/>
  <c r="E46" i="6"/>
  <c r="D46" i="6"/>
  <c r="D39" i="6"/>
  <c r="E39" i="6"/>
  <c r="D40" i="6"/>
  <c r="E40" i="6"/>
  <c r="D41" i="6"/>
  <c r="E41" i="6"/>
  <c r="D42" i="6"/>
  <c r="E42" i="6"/>
  <c r="D43" i="6"/>
  <c r="E43" i="6"/>
  <c r="D44" i="6"/>
  <c r="E44" i="6"/>
  <c r="D45" i="6"/>
  <c r="E45" i="6"/>
  <c r="E38" i="6"/>
  <c r="D38" i="6"/>
  <c r="D31" i="6"/>
  <c r="E31" i="6"/>
  <c r="D32" i="6"/>
  <c r="E32" i="6"/>
  <c r="D33" i="6"/>
  <c r="E33" i="6"/>
  <c r="D34" i="6"/>
  <c r="E34" i="6"/>
  <c r="D35" i="6"/>
  <c r="E35" i="6"/>
  <c r="D36" i="6"/>
  <c r="E36" i="6"/>
  <c r="D37" i="6"/>
  <c r="E37" i="6"/>
  <c r="E30" i="6"/>
  <c r="D30" i="6"/>
  <c r="P48" i="4"/>
  <c r="P49" i="4"/>
  <c r="P50" i="4"/>
  <c r="P51" i="4"/>
  <c r="P52" i="4"/>
  <c r="P53" i="4"/>
  <c r="P54" i="4"/>
  <c r="P47" i="4"/>
  <c r="P40" i="4"/>
  <c r="P41" i="4"/>
  <c r="P42" i="4"/>
  <c r="P43" i="4"/>
  <c r="P44" i="4"/>
  <c r="P45" i="4"/>
  <c r="P46" i="4"/>
  <c r="P39" i="4"/>
  <c r="P32" i="4"/>
  <c r="P33" i="4"/>
  <c r="P34" i="4"/>
  <c r="P35" i="4"/>
  <c r="P36" i="4"/>
  <c r="P37" i="4"/>
  <c r="P38" i="4"/>
  <c r="P31" i="4"/>
  <c r="P24" i="4"/>
  <c r="P25" i="4"/>
  <c r="P26" i="4"/>
  <c r="P27" i="4"/>
  <c r="P28" i="4"/>
  <c r="P29" i="4"/>
  <c r="P30" i="4"/>
  <c r="P23" i="4"/>
  <c r="P16" i="4"/>
  <c r="P17" i="4"/>
  <c r="P18" i="4"/>
  <c r="P19" i="4"/>
  <c r="P20" i="4"/>
  <c r="P21" i="4"/>
  <c r="P22" i="4"/>
  <c r="P15" i="4"/>
  <c r="P8" i="4"/>
  <c r="P9" i="4"/>
  <c r="P10" i="4"/>
  <c r="P11" i="4"/>
  <c r="P12" i="4"/>
  <c r="P13" i="4"/>
  <c r="P14" i="4"/>
  <c r="P7" i="4"/>
  <c r="P14" i="5"/>
  <c r="P15" i="5"/>
  <c r="P16" i="5"/>
  <c r="P17" i="5"/>
  <c r="P18" i="5"/>
  <c r="P19" i="5"/>
  <c r="P20" i="5"/>
  <c r="P13" i="5"/>
  <c r="P6" i="5"/>
  <c r="P7" i="5"/>
  <c r="P8" i="5"/>
  <c r="P9" i="5"/>
  <c r="P10" i="5"/>
  <c r="P11" i="5"/>
  <c r="P12" i="5"/>
  <c r="P5" i="5"/>
  <c r="P48" i="3"/>
  <c r="P49" i="3"/>
  <c r="P50" i="3"/>
  <c r="P51" i="3"/>
  <c r="P52" i="3"/>
  <c r="P53" i="3"/>
  <c r="P54" i="3"/>
  <c r="P47" i="3"/>
  <c r="P40" i="3"/>
  <c r="P41" i="3"/>
  <c r="P42" i="3"/>
  <c r="P43" i="3"/>
  <c r="P44" i="3"/>
  <c r="P45" i="3"/>
  <c r="P46" i="3"/>
  <c r="P39" i="3"/>
  <c r="P32" i="3"/>
  <c r="P33" i="3"/>
  <c r="P34" i="3"/>
  <c r="P35" i="3"/>
  <c r="P36" i="3"/>
  <c r="P37" i="3"/>
  <c r="P38" i="3"/>
  <c r="P31" i="3"/>
  <c r="P24" i="3"/>
  <c r="P25" i="3"/>
  <c r="P26" i="3"/>
  <c r="P27" i="3"/>
  <c r="P28" i="3"/>
  <c r="P29" i="3"/>
  <c r="P30" i="3"/>
  <c r="P23" i="3"/>
  <c r="P16" i="3"/>
  <c r="P17" i="3"/>
  <c r="P18" i="3"/>
  <c r="P19" i="3"/>
  <c r="P20" i="3"/>
  <c r="P21" i="3"/>
  <c r="P22" i="3"/>
  <c r="P15" i="3"/>
  <c r="P8" i="3"/>
  <c r="P9" i="3"/>
  <c r="P10" i="3"/>
  <c r="P11" i="3"/>
  <c r="P12" i="3"/>
  <c r="P13" i="3"/>
  <c r="P14" i="3"/>
  <c r="P7" i="3"/>
  <c r="P31" i="2"/>
  <c r="P32" i="2"/>
  <c r="P33" i="2"/>
  <c r="P34" i="2"/>
  <c r="P35" i="2"/>
  <c r="P36" i="2"/>
  <c r="P37" i="2"/>
  <c r="P23" i="2"/>
  <c r="P24" i="2"/>
  <c r="P25" i="2"/>
  <c r="P26" i="2"/>
  <c r="P27" i="2"/>
  <c r="P28" i="2"/>
  <c r="P29" i="2"/>
  <c r="P15" i="2"/>
  <c r="P16" i="2"/>
  <c r="P17" i="2"/>
  <c r="P18" i="2"/>
  <c r="P19" i="2"/>
  <c r="P20" i="2"/>
  <c r="P21" i="2"/>
  <c r="P7" i="2"/>
  <c r="P8" i="2"/>
  <c r="P9" i="2"/>
  <c r="P10" i="2"/>
  <c r="P11" i="2"/>
  <c r="P12" i="2"/>
  <c r="P13" i="2"/>
  <c r="P14" i="1"/>
  <c r="P15" i="1"/>
  <c r="P16" i="1"/>
  <c r="P17" i="1"/>
  <c r="P18" i="1"/>
  <c r="P19" i="1"/>
  <c r="P20" i="1"/>
  <c r="P6" i="1"/>
  <c r="P7" i="1"/>
  <c r="P8" i="1"/>
  <c r="P9" i="1"/>
  <c r="P10" i="1"/>
  <c r="P11" i="1"/>
  <c r="P12" i="1"/>
  <c r="P13" i="1"/>
  <c r="P5" i="1"/>
  <c r="P30" i="2"/>
  <c r="P22" i="2"/>
  <c r="P14" i="2"/>
  <c r="P6" i="2"/>
</calcChain>
</file>

<file path=xl/sharedStrings.xml><?xml version="1.0" encoding="utf-8"?>
<sst xmlns="http://schemas.openxmlformats.org/spreadsheetml/2006/main" count="866" uniqueCount="95">
  <si>
    <t>2023-04-28_kinetic1_NudE1_WT_vs_M1</t>
  </si>
  <si>
    <t>No.</t>
  </si>
  <si>
    <t>Label</t>
  </si>
  <si>
    <t>Type</t>
  </si>
  <si>
    <t>Volume (Int)</t>
  </si>
  <si>
    <t>Adj. Vol. (Int)</t>
  </si>
  <si>
    <t>Mean Bkgd. (Int)</t>
  </si>
  <si>
    <t>Abs. Quant.</t>
  </si>
  <si>
    <t>Rel. Quant.</t>
  </si>
  <si>
    <t># of Pixels</t>
  </si>
  <si>
    <t>Min. Value (Int)</t>
  </si>
  <si>
    <t>Max. Value (Int)</t>
  </si>
  <si>
    <t>Mean Value (Int)</t>
  </si>
  <si>
    <t>Std. Dev.</t>
  </si>
  <si>
    <t>Area (mm2)</t>
  </si>
  <si>
    <t>U1</t>
  </si>
  <si>
    <t>Unknown</t>
  </si>
  <si>
    <t>N/A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</si>
  <si>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</si>
  <si>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</si>
  <si>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</si>
  <si>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</si>
  <si>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</si>
  <si>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</si>
  <si>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</si>
  <si>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</si>
  <si>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</si>
  <si>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</si>
  <si>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</si>
  <si>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</si>
  <si>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</si>
  <si>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</si>
  <si>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</si>
  <si>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Quantification of NAD-RNA (1-8) and P-RNA (9-16)</t>
  </si>
  <si>
    <t>2023-04-28_kinetic1_NudE1_vs_NudC_4s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</si>
  <si>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</si>
  <si>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</si>
  <si>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</si>
  <si>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</si>
  <si>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</si>
  <si>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</si>
  <si>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</si>
  <si>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</si>
  <si>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</si>
  <si>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</si>
  <si>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</si>
  <si>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</si>
  <si>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</si>
  <si>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</si>
  <si>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</si>
  <si>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</si>
  <si>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Quantification of NAD-RNA (1-8) and P-RNA (9-16) for NudE.1 WT</t>
  </si>
  <si>
    <t>Quantification of NAD-RNA (17-24) and P-RNA (25-32) for NudC WT</t>
  </si>
  <si>
    <t>2023-05-03_Kinetic_R3_4s_quantified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</si>
  <si>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</si>
  <si>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</si>
  <si>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</si>
  <si>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</si>
  <si>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</si>
  <si>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</si>
  <si>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</si>
  <si>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</si>
  <si>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</si>
  <si>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</si>
  <si>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</si>
  <si>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</si>
  <si>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</si>
  <si>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</si>
  <si>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</si>
  <si>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</si>
  <si>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Quantification of NAD-RNA (17-24) and P-RNA (25-32) for NudE.1 M1</t>
  </si>
  <si>
    <t>Quantification of NAD-RNA (33-40) and P-RNA (41-48) for NudC WT</t>
  </si>
  <si>
    <t>Ahmet 2023-05-02 12h37m26s_quantified</t>
  </si>
  <si>
    <t>2023-05-03_Kinetic_R2_gelA_4s_quantified</t>
  </si>
  <si>
    <t>time</t>
  </si>
  <si>
    <t>NudE1-WT_R1</t>
  </si>
  <si>
    <t>NudE1-WT_R2</t>
  </si>
  <si>
    <t>NudE1-WT_R3</t>
  </si>
  <si>
    <t>NudE1-M1_R1</t>
  </si>
  <si>
    <t>NudE1-M1_R2</t>
  </si>
  <si>
    <t>NudE1-M1_R3</t>
  </si>
  <si>
    <t>NudC-WT-R1</t>
  </si>
  <si>
    <t>NudC-WT-R2</t>
  </si>
  <si>
    <t>NudC-WT-R3</t>
  </si>
  <si>
    <t>NAD-RNA intensities</t>
  </si>
  <si>
    <t>P-RNA intensities</t>
  </si>
  <si>
    <t>Norm. intensities</t>
  </si>
  <si>
    <t>NAD-RNA: mean and sd</t>
  </si>
  <si>
    <t>Enzyme</t>
  </si>
  <si>
    <t>Mean</t>
  </si>
  <si>
    <t>SD</t>
  </si>
  <si>
    <t>NudE.1-WT</t>
  </si>
  <si>
    <t>NudE.1-M1</t>
  </si>
  <si>
    <t>NudC-WT</t>
  </si>
  <si>
    <t>P-RNA: mean and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</si>
</sst>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" fontId="0" fillId="0" borderId="0" xfId="0" applyNumberFormat="1"/>
    <xf numFmtId="0" fontId="1" fillId="0" borderId="0" xfId="0" applyFont="1"/>
    <xf numFmtId="0" fontId="0" fillId="0" borderId="0" xfId="0"/>
    <xf numFmtId="4" fontId="0" fillId="0" borderId="0" xfId="0" applyNumberFormat="1"/>
    <xf numFmtId="0" fontId="0" fillId="0" borderId="0" xfId="0"/>
    <xf numFmtId="4" fontId="0" fillId="0" borderId="0" xfId="0" applyNumberFormat="1"/>
    <xf numFmtId="0" fontId="0" fillId="0" borderId="0" xfId="0"/>
    <xf numFmtId="4" fontId="0" fillId="0" borderId="0" xfId="0" applyNumberFormat="1"/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topLeftCell="A3" workbookViewId="0">
      <selection activeCell="P5" sqref="P5:P20"/>
    </sheetView>
  </sheetViews>
  <sheetFormatPr defaultRowHeight="15" x14ac:dyDescent="0.25"/>
  <cols>
    <col min="5" max="5" width="18.42578125" customWidth="1"/>
  </cols>
  <sheetData>
    <row r="1" spans="1:16" x14ac:dyDescent="0.25">
      <c r="A1" s="2" t="s">
        <v>0</v>
      </c>
    </row>
    <row r="2" spans="1:16" x14ac:dyDescent="0.25">
      <c r="A2" s="2" t="s">
        <v>33</v>
      </c>
    </row>
    <row r="4" spans="1:16" x14ac:dyDescent="0.2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P4" t="s">
        <v>86</v>
      </c>
    </row>
    <row r="5" spans="1:16" x14ac:dyDescent="0.25">
      <c r="A5">
        <v>1</v>
      </c>
      <c r="B5" t="s">
        <v>15</v>
      </c>
      <c r="C5" t="s">
        <v>16</v>
      </c>
      <c r="D5" s="1">
        <v>10364315</v>
      </c>
      <c r="E5" s="1">
        <v>6473647.4193550004</v>
      </c>
      <c r="F5">
        <v>459.88978500000002</v>
      </c>
      <c r="G5" t="s">
        <v>17</v>
      </c>
      <c r="H5" t="s">
        <v>17</v>
      </c>
      <c r="I5">
        <v>8460</v>
      </c>
      <c r="J5">
        <v>304</v>
      </c>
      <c r="K5" s="1">
        <v>5610</v>
      </c>
      <c r="L5" s="1">
        <v>1225.0963360000001</v>
      </c>
      <c r="M5" s="1">
        <v>1221.720155</v>
      </c>
      <c r="N5">
        <v>49.333686</v>
      </c>
      <c r="P5">
        <f>E5/6473647.419355</f>
        <v>1</v>
      </c>
    </row>
    <row r="6" spans="1:16" x14ac:dyDescent="0.25">
      <c r="A6">
        <v>2</v>
      </c>
      <c r="B6" t="s">
        <v>18</v>
      </c>
      <c r="C6" t="s">
        <v>16</v>
      </c>
      <c r="D6" s="1">
        <v>10728244</v>
      </c>
      <c r="E6" s="1">
        <v>6523578.5161290001</v>
      </c>
      <c r="F6">
        <v>497.00537600000001</v>
      </c>
      <c r="G6" t="s">
        <v>17</v>
      </c>
      <c r="H6" t="s">
        <v>17</v>
      </c>
      <c r="I6">
        <v>8460</v>
      </c>
      <c r="J6">
        <v>339</v>
      </c>
      <c r="K6" s="1">
        <v>5226</v>
      </c>
      <c r="L6" s="1">
        <v>1268.1139479999999</v>
      </c>
      <c r="M6" s="1">
        <v>1183.3641419999999</v>
      </c>
      <c r="N6">
        <v>49.333686</v>
      </c>
      <c r="P6" s="9">
        <f t="shared" ref="P6:P12" si="0">E6/6473647.419355</f>
        <v>1.0077129774823255</v>
      </c>
    </row>
    <row r="7" spans="1:16" x14ac:dyDescent="0.25">
      <c r="A7">
        <v>3</v>
      </c>
      <c r="B7" t="s">
        <v>19</v>
      </c>
      <c r="C7" t="s">
        <v>16</v>
      </c>
      <c r="D7" s="1">
        <v>10640051</v>
      </c>
      <c r="E7" s="1">
        <v>6647522.2903230004</v>
      </c>
      <c r="F7">
        <v>471.93010800000002</v>
      </c>
      <c r="G7" t="s">
        <v>17</v>
      </c>
      <c r="H7" t="s">
        <v>17</v>
      </c>
      <c r="I7">
        <v>8460</v>
      </c>
      <c r="J7">
        <v>326</v>
      </c>
      <c r="K7" s="1">
        <v>5545</v>
      </c>
      <c r="L7" s="1">
        <v>1257.689243</v>
      </c>
      <c r="M7" s="1">
        <v>1190.282465</v>
      </c>
      <c r="N7">
        <v>49.333686</v>
      </c>
      <c r="P7" s="9">
        <f t="shared" si="0"/>
        <v>1.0268588725496768</v>
      </c>
    </row>
    <row r="8" spans="1:16" x14ac:dyDescent="0.25">
      <c r="A8">
        <v>4</v>
      </c>
      <c r="B8" t="s">
        <v>20</v>
      </c>
      <c r="C8" t="s">
        <v>16</v>
      </c>
      <c r="D8" s="1">
        <v>11249663</v>
      </c>
      <c r="E8" s="1">
        <v>6963672.3548389999</v>
      </c>
      <c r="F8">
        <v>506.61828000000003</v>
      </c>
      <c r="G8" t="s">
        <v>17</v>
      </c>
      <c r="H8" t="s">
        <v>17</v>
      </c>
      <c r="I8">
        <v>8460</v>
      </c>
      <c r="J8">
        <v>333</v>
      </c>
      <c r="K8" s="1">
        <v>5397</v>
      </c>
      <c r="L8" s="1">
        <v>1329.7474</v>
      </c>
      <c r="M8" s="1">
        <v>1269.1341560000001</v>
      </c>
      <c r="N8">
        <v>49.333686</v>
      </c>
      <c r="P8" s="9">
        <f t="shared" si="0"/>
        <v>1.0756953389242232</v>
      </c>
    </row>
    <row r="9" spans="1:16" x14ac:dyDescent="0.25">
      <c r="A9">
        <v>5</v>
      </c>
      <c r="B9" t="s">
        <v>21</v>
      </c>
      <c r="C9" t="s">
        <v>16</v>
      </c>
      <c r="D9" s="1">
        <v>11498908</v>
      </c>
      <c r="E9" s="1">
        <v>7365629.4516129997</v>
      </c>
      <c r="F9">
        <v>488.567204</v>
      </c>
      <c r="G9" t="s">
        <v>17</v>
      </c>
      <c r="H9" t="s">
        <v>17</v>
      </c>
      <c r="I9">
        <v>8460</v>
      </c>
      <c r="J9">
        <v>327</v>
      </c>
      <c r="K9" s="1">
        <v>5918</v>
      </c>
      <c r="L9" s="1">
        <v>1359.208983</v>
      </c>
      <c r="M9" s="1">
        <v>1369.794729</v>
      </c>
      <c r="N9">
        <v>49.333686</v>
      </c>
      <c r="P9" s="9">
        <f t="shared" si="0"/>
        <v>1.1377866254487601</v>
      </c>
    </row>
    <row r="10" spans="1:16" x14ac:dyDescent="0.25">
      <c r="A10">
        <v>6</v>
      </c>
      <c r="B10" t="s">
        <v>22</v>
      </c>
      <c r="C10" t="s">
        <v>16</v>
      </c>
      <c r="D10" s="1">
        <v>11668248</v>
      </c>
      <c r="E10" s="1">
        <v>7594848.9677419998</v>
      </c>
      <c r="F10">
        <v>481.48924699999998</v>
      </c>
      <c r="G10" t="s">
        <v>17</v>
      </c>
      <c r="H10" t="s">
        <v>17</v>
      </c>
      <c r="I10">
        <v>8460</v>
      </c>
      <c r="J10">
        <v>329</v>
      </c>
      <c r="K10" s="1">
        <v>6137</v>
      </c>
      <c r="L10" s="1">
        <v>1379.2255319999999</v>
      </c>
      <c r="M10" s="1">
        <v>1399.2478880000001</v>
      </c>
      <c r="N10">
        <v>49.333686</v>
      </c>
      <c r="P10" s="9">
        <f t="shared" si="0"/>
        <v>1.1731947194150265</v>
      </c>
    </row>
    <row r="11" spans="1:16" x14ac:dyDescent="0.25">
      <c r="A11">
        <v>7</v>
      </c>
      <c r="B11" t="s">
        <v>23</v>
      </c>
      <c r="C11" t="s">
        <v>16</v>
      </c>
      <c r="D11" s="1">
        <v>11647624</v>
      </c>
      <c r="E11" s="1">
        <v>7395632.5483870003</v>
      </c>
      <c r="F11">
        <v>502.59946200000002</v>
      </c>
      <c r="G11" t="s">
        <v>17</v>
      </c>
      <c r="H11" t="s">
        <v>17</v>
      </c>
      <c r="I11">
        <v>8460</v>
      </c>
      <c r="J11">
        <v>331</v>
      </c>
      <c r="K11" s="1">
        <v>6174</v>
      </c>
      <c r="L11" s="1">
        <v>1376.787707</v>
      </c>
      <c r="M11" s="1">
        <v>1400.878113</v>
      </c>
      <c r="N11">
        <v>49.333686</v>
      </c>
      <c r="P11" s="9">
        <f t="shared" si="0"/>
        <v>1.1424212764932851</v>
      </c>
    </row>
    <row r="12" spans="1:16" x14ac:dyDescent="0.25">
      <c r="A12">
        <v>8</v>
      </c>
      <c r="B12" t="s">
        <v>24</v>
      </c>
      <c r="C12" t="s">
        <v>16</v>
      </c>
      <c r="D12" s="1">
        <v>14398863</v>
      </c>
      <c r="E12" s="1">
        <v>8563828.0512819998</v>
      </c>
      <c r="F12">
        <v>433.76709399999999</v>
      </c>
      <c r="G12" t="s">
        <v>17</v>
      </c>
      <c r="H12" t="s">
        <v>17</v>
      </c>
      <c r="I12">
        <v>13452</v>
      </c>
      <c r="J12">
        <v>303</v>
      </c>
      <c r="K12" s="1">
        <v>6231</v>
      </c>
      <c r="L12" s="1">
        <v>1070.388269</v>
      </c>
      <c r="M12" s="1">
        <v>1244.860498</v>
      </c>
      <c r="N12">
        <v>78.444059999999993</v>
      </c>
      <c r="P12" s="9">
        <f t="shared" si="0"/>
        <v>1.3228752659092538</v>
      </c>
    </row>
    <row r="13" spans="1:16" x14ac:dyDescent="0.25">
      <c r="A13">
        <v>9</v>
      </c>
      <c r="B13" t="s">
        <v>25</v>
      </c>
      <c r="C13" t="s">
        <v>16</v>
      </c>
      <c r="D13" s="1">
        <v>10483673</v>
      </c>
      <c r="E13" s="1">
        <v>4212788.9677419998</v>
      </c>
      <c r="F13">
        <v>741.23924699999998</v>
      </c>
      <c r="G13" t="s">
        <v>17</v>
      </c>
      <c r="H13" t="s">
        <v>17</v>
      </c>
      <c r="I13">
        <v>8460</v>
      </c>
      <c r="J13">
        <v>415</v>
      </c>
      <c r="K13" s="1">
        <v>6753</v>
      </c>
      <c r="L13" s="1">
        <v>1239.2048460000001</v>
      </c>
      <c r="M13" s="1">
        <v>1176.952274</v>
      </c>
      <c r="N13">
        <v>49.333686</v>
      </c>
      <c r="P13">
        <f>E13/4212788.967742</f>
        <v>1</v>
      </c>
    </row>
    <row r="14" spans="1:16" x14ac:dyDescent="0.25">
      <c r="A14">
        <v>10</v>
      </c>
      <c r="B14" t="s">
        <v>26</v>
      </c>
      <c r="C14" t="s">
        <v>16</v>
      </c>
      <c r="D14" s="1">
        <v>12408724</v>
      </c>
      <c r="E14" s="1">
        <v>5558420.9354839996</v>
      </c>
      <c r="F14">
        <v>809.72849499999995</v>
      </c>
      <c r="G14" t="s">
        <v>17</v>
      </c>
      <c r="H14" t="s">
        <v>17</v>
      </c>
      <c r="I14">
        <v>8460</v>
      </c>
      <c r="J14">
        <v>499</v>
      </c>
      <c r="K14" s="1">
        <v>5528</v>
      </c>
      <c r="L14" s="1">
        <v>1466.752246</v>
      </c>
      <c r="M14" s="1">
        <v>1128.0327130000001</v>
      </c>
      <c r="N14">
        <v>49.333686</v>
      </c>
      <c r="P14" s="9">
        <f t="shared" ref="P14:P20" si="1">E14/4212788.967742</f>
        <v>1.3194159446499027</v>
      </c>
    </row>
    <row r="15" spans="1:16" x14ac:dyDescent="0.25">
      <c r="A15">
        <v>11</v>
      </c>
      <c r="B15" t="s">
        <v>27</v>
      </c>
      <c r="C15" t="s">
        <v>16</v>
      </c>
      <c r="D15" s="1">
        <v>12122801</v>
      </c>
      <c r="E15" s="1">
        <v>5896604.870968</v>
      </c>
      <c r="F15">
        <v>735.95698900000002</v>
      </c>
      <c r="G15" t="s">
        <v>17</v>
      </c>
      <c r="H15" t="s">
        <v>17</v>
      </c>
      <c r="I15">
        <v>8460</v>
      </c>
      <c r="J15">
        <v>417</v>
      </c>
      <c r="K15" s="1">
        <v>6459</v>
      </c>
      <c r="L15" s="1">
        <v>1432.955201</v>
      </c>
      <c r="M15" s="1">
        <v>1337.6104539999999</v>
      </c>
      <c r="N15">
        <v>49.333686</v>
      </c>
      <c r="P15" s="9">
        <f t="shared" si="1"/>
        <v>1.3996914908672731</v>
      </c>
    </row>
    <row r="16" spans="1:16" x14ac:dyDescent="0.25">
      <c r="A16">
        <v>12</v>
      </c>
      <c r="B16" t="s">
        <v>28</v>
      </c>
      <c r="C16" t="s">
        <v>16</v>
      </c>
      <c r="D16" s="1">
        <v>12462404</v>
      </c>
      <c r="E16" s="1">
        <v>5948249.4838709999</v>
      </c>
      <c r="F16">
        <v>769.99462400000004</v>
      </c>
      <c r="G16" t="s">
        <v>17</v>
      </c>
      <c r="H16" t="s">
        <v>17</v>
      </c>
      <c r="I16">
        <v>8460</v>
      </c>
      <c r="J16">
        <v>501</v>
      </c>
      <c r="K16" s="1">
        <v>4835</v>
      </c>
      <c r="L16" s="1">
        <v>1473.0974000000001</v>
      </c>
      <c r="M16" s="1">
        <v>1153.4265829999999</v>
      </c>
      <c r="N16">
        <v>49.333686</v>
      </c>
      <c r="P16" s="9">
        <f t="shared" si="1"/>
        <v>1.4119504986880898</v>
      </c>
    </row>
    <row r="17" spans="1:16" x14ac:dyDescent="0.25">
      <c r="A17">
        <v>13</v>
      </c>
      <c r="B17" t="s">
        <v>29</v>
      </c>
      <c r="C17" t="s">
        <v>16</v>
      </c>
      <c r="D17" s="1">
        <v>12798417</v>
      </c>
      <c r="E17" s="1">
        <v>6617340.870968</v>
      </c>
      <c r="F17">
        <v>730.62365599999998</v>
      </c>
      <c r="G17" t="s">
        <v>17</v>
      </c>
      <c r="H17" t="s">
        <v>17</v>
      </c>
      <c r="I17">
        <v>8460</v>
      </c>
      <c r="J17">
        <v>488</v>
      </c>
      <c r="K17" s="1">
        <v>5017</v>
      </c>
      <c r="L17" s="1">
        <v>1512.8152480000001</v>
      </c>
      <c r="M17" s="1">
        <v>1242.8425139999999</v>
      </c>
      <c r="N17">
        <v>49.333686</v>
      </c>
      <c r="P17" s="9">
        <f t="shared" si="1"/>
        <v>1.5707743543856669</v>
      </c>
    </row>
    <row r="18" spans="1:16" x14ac:dyDescent="0.25">
      <c r="A18">
        <v>14</v>
      </c>
      <c r="B18" t="s">
        <v>30</v>
      </c>
      <c r="C18" t="s">
        <v>16</v>
      </c>
      <c r="D18" s="1">
        <v>13143778</v>
      </c>
      <c r="E18" s="1">
        <v>7244087.8387099998</v>
      </c>
      <c r="F18">
        <v>697.36290299999996</v>
      </c>
      <c r="G18" t="s">
        <v>17</v>
      </c>
      <c r="H18" t="s">
        <v>17</v>
      </c>
      <c r="I18">
        <v>8460</v>
      </c>
      <c r="J18">
        <v>459</v>
      </c>
      <c r="K18" s="1">
        <v>5137</v>
      </c>
      <c r="L18" s="1">
        <v>1553.6380610000001</v>
      </c>
      <c r="M18" s="1">
        <v>1273.0168369999999</v>
      </c>
      <c r="N18">
        <v>49.333686</v>
      </c>
      <c r="P18" s="9">
        <f t="shared" si="1"/>
        <v>1.7195468119051633</v>
      </c>
    </row>
    <row r="19" spans="1:16" x14ac:dyDescent="0.25">
      <c r="A19">
        <v>15</v>
      </c>
      <c r="B19" t="s">
        <v>31</v>
      </c>
      <c r="C19" t="s">
        <v>16</v>
      </c>
      <c r="D19" s="1">
        <v>13593245</v>
      </c>
      <c r="E19" s="1">
        <v>7510482.2580650002</v>
      </c>
      <c r="F19">
        <v>719.00268800000003</v>
      </c>
      <c r="G19" t="s">
        <v>17</v>
      </c>
      <c r="H19" t="s">
        <v>17</v>
      </c>
      <c r="I19">
        <v>8460</v>
      </c>
      <c r="J19">
        <v>443</v>
      </c>
      <c r="K19" s="1">
        <v>7010</v>
      </c>
      <c r="L19" s="1">
        <v>1606.7665480000001</v>
      </c>
      <c r="M19" s="1">
        <v>1496.818244</v>
      </c>
      <c r="N19">
        <v>49.333686</v>
      </c>
      <c r="P19" s="9">
        <f t="shared" si="1"/>
        <v>1.7827815054525555</v>
      </c>
    </row>
    <row r="20" spans="1:16" x14ac:dyDescent="0.25">
      <c r="A20">
        <v>16</v>
      </c>
      <c r="B20" t="s">
        <v>32</v>
      </c>
      <c r="C20" t="s">
        <v>16</v>
      </c>
      <c r="D20" s="1">
        <v>17179507</v>
      </c>
      <c r="E20" s="1">
        <v>4750750.0512819998</v>
      </c>
      <c r="F20">
        <v>923.933761</v>
      </c>
      <c r="G20" t="s">
        <v>17</v>
      </c>
      <c r="H20" t="s">
        <v>17</v>
      </c>
      <c r="I20">
        <v>13452</v>
      </c>
      <c r="J20">
        <v>433</v>
      </c>
      <c r="K20" s="1">
        <v>6864</v>
      </c>
      <c r="L20" s="1">
        <v>1277.096863</v>
      </c>
      <c r="M20" s="1">
        <v>1215.0357530000001</v>
      </c>
      <c r="N20">
        <v>78.444059999999993</v>
      </c>
      <c r="P20" s="9">
        <f t="shared" si="1"/>
        <v>1.127697135474683</v>
      </c>
    </row>
    <row r="22" spans="1:16" x14ac:dyDescent="0.25">
      <c r="D22" s="9"/>
      <c r="E22" s="9"/>
      <c r="G22" s="9"/>
      <c r="H22" s="9"/>
      <c r="J22" s="9"/>
      <c r="K22" s="9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workbookViewId="0">
      <selection activeCell="P6" sqref="P6:P21"/>
    </sheetView>
  </sheetViews>
  <sheetFormatPr defaultRowHeight="15" x14ac:dyDescent="0.25"/>
  <cols>
    <col min="5" max="5" width="24.42578125" customWidth="1"/>
    <col min="16" max="16" width="35.28515625" customWidth="1"/>
  </cols>
  <sheetData>
    <row r="1" spans="1:16" x14ac:dyDescent="0.25">
      <c r="A1" s="2" t="s">
        <v>34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6" s="3" customFormat="1" x14ac:dyDescent="0.25">
      <c r="A2" s="2" t="s">
        <v>51</v>
      </c>
    </row>
    <row r="3" spans="1:16" s="3" customFormat="1" x14ac:dyDescent="0.25">
      <c r="A3" s="2" t="s">
        <v>52</v>
      </c>
    </row>
    <row r="4" spans="1:16" s="3" customFormat="1" x14ac:dyDescent="0.25"/>
    <row r="5" spans="1:16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P5" t="s">
        <v>86</v>
      </c>
    </row>
    <row r="6" spans="1:16" x14ac:dyDescent="0.25">
      <c r="A6" s="3">
        <v>1</v>
      </c>
      <c r="B6" s="3" t="s">
        <v>15</v>
      </c>
      <c r="C6" s="3" t="s">
        <v>16</v>
      </c>
      <c r="D6" s="4">
        <v>4487383</v>
      </c>
      <c r="E6" s="4">
        <v>2309540.3426569998</v>
      </c>
      <c r="F6" s="3">
        <v>474.47552400000001</v>
      </c>
      <c r="G6" s="3" t="s">
        <v>17</v>
      </c>
      <c r="H6" s="3" t="s">
        <v>17</v>
      </c>
      <c r="I6" s="3">
        <v>4590</v>
      </c>
      <c r="J6" s="3">
        <v>327</v>
      </c>
      <c r="K6" s="4">
        <v>5478</v>
      </c>
      <c r="L6" s="3">
        <v>977.64335500000004</v>
      </c>
      <c r="M6" s="3">
        <v>884.19997899999998</v>
      </c>
      <c r="N6" s="3">
        <v>26.766148999999999</v>
      </c>
      <c r="P6">
        <f>E6/2309540.342657</f>
        <v>1</v>
      </c>
    </row>
    <row r="7" spans="1:16" x14ac:dyDescent="0.25">
      <c r="A7" s="3">
        <v>2</v>
      </c>
      <c r="B7" s="3" t="s">
        <v>18</v>
      </c>
      <c r="C7" s="3" t="s">
        <v>16</v>
      </c>
      <c r="D7" s="4">
        <v>3554940</v>
      </c>
      <c r="E7" s="4">
        <v>1618585.909091</v>
      </c>
      <c r="F7" s="3">
        <v>421.86363599999999</v>
      </c>
      <c r="G7" s="3" t="s">
        <v>17</v>
      </c>
      <c r="H7" s="3" t="s">
        <v>17</v>
      </c>
      <c r="I7" s="3">
        <v>4590</v>
      </c>
      <c r="J7" s="3">
        <v>320</v>
      </c>
      <c r="K7" s="4">
        <v>4163</v>
      </c>
      <c r="L7" s="3">
        <v>774.49673199999995</v>
      </c>
      <c r="M7" s="3">
        <v>630.19987700000001</v>
      </c>
      <c r="N7" s="3">
        <v>26.766148999999999</v>
      </c>
      <c r="P7" s="9">
        <f t="shared" ref="P7:P13" si="0">E7/2309540.342657</f>
        <v>0.70082599519734101</v>
      </c>
    </row>
    <row r="8" spans="1:16" x14ac:dyDescent="0.25">
      <c r="A8" s="3">
        <v>3</v>
      </c>
      <c r="B8" s="3" t="s">
        <v>19</v>
      </c>
      <c r="C8" s="3" t="s">
        <v>16</v>
      </c>
      <c r="D8" s="4">
        <v>2867826</v>
      </c>
      <c r="E8" s="4">
        <v>1013786.979021</v>
      </c>
      <c r="F8" s="3">
        <v>403.93007</v>
      </c>
      <c r="G8" s="3" t="s">
        <v>17</v>
      </c>
      <c r="H8" s="3" t="s">
        <v>17</v>
      </c>
      <c r="I8" s="3">
        <v>4590</v>
      </c>
      <c r="J8" s="3">
        <v>323</v>
      </c>
      <c r="K8" s="4">
        <v>2326</v>
      </c>
      <c r="L8" s="3">
        <v>624.79869299999996</v>
      </c>
      <c r="M8" s="3">
        <v>384.87726099999998</v>
      </c>
      <c r="N8" s="3">
        <v>26.766148999999999</v>
      </c>
      <c r="P8" s="9">
        <f t="shared" si="0"/>
        <v>0.43895616815885258</v>
      </c>
    </row>
    <row r="9" spans="1:16" x14ac:dyDescent="0.25">
      <c r="A9" s="3">
        <v>4</v>
      </c>
      <c r="B9" s="3" t="s">
        <v>20</v>
      </c>
      <c r="C9" s="3" t="s">
        <v>16</v>
      </c>
      <c r="D9" s="4">
        <v>2513504</v>
      </c>
      <c r="E9" s="4">
        <v>705878.54545500001</v>
      </c>
      <c r="F9" s="3">
        <v>393.81818199999998</v>
      </c>
      <c r="G9" s="3" t="s">
        <v>17</v>
      </c>
      <c r="H9" s="3" t="s">
        <v>17</v>
      </c>
      <c r="I9" s="3">
        <v>4590</v>
      </c>
      <c r="J9" s="3">
        <v>306</v>
      </c>
      <c r="K9" s="4">
        <v>1658</v>
      </c>
      <c r="L9" s="3">
        <v>547.60435700000005</v>
      </c>
      <c r="M9" s="3">
        <v>266.42305399999998</v>
      </c>
      <c r="N9" s="3">
        <v>26.766148999999999</v>
      </c>
      <c r="P9" s="9">
        <f t="shared" si="0"/>
        <v>0.30563594513483378</v>
      </c>
    </row>
    <row r="10" spans="1:16" x14ac:dyDescent="0.25">
      <c r="A10" s="3">
        <v>5</v>
      </c>
      <c r="B10" s="3" t="s">
        <v>21</v>
      </c>
      <c r="C10" s="3" t="s">
        <v>16</v>
      </c>
      <c r="D10" s="4">
        <v>2303010</v>
      </c>
      <c r="E10" s="4">
        <v>484503.35664299998</v>
      </c>
      <c r="F10" s="3">
        <v>396.18881099999999</v>
      </c>
      <c r="G10" s="3" t="s">
        <v>17</v>
      </c>
      <c r="H10" s="3" t="s">
        <v>17</v>
      </c>
      <c r="I10" s="3">
        <v>4590</v>
      </c>
      <c r="J10" s="3">
        <v>320</v>
      </c>
      <c r="K10" s="4">
        <v>1287</v>
      </c>
      <c r="L10" s="3">
        <v>501.74509799999998</v>
      </c>
      <c r="M10" s="3">
        <v>177.732203</v>
      </c>
      <c r="N10" s="3">
        <v>26.766148999999999</v>
      </c>
      <c r="P10" s="9">
        <f t="shared" si="0"/>
        <v>0.20978345677460883</v>
      </c>
    </row>
    <row r="11" spans="1:16" x14ac:dyDescent="0.25">
      <c r="A11" s="3">
        <v>6</v>
      </c>
      <c r="B11" s="3" t="s">
        <v>22</v>
      </c>
      <c r="C11" s="3" t="s">
        <v>16</v>
      </c>
      <c r="D11" s="4">
        <v>1983127</v>
      </c>
      <c r="E11" s="4">
        <v>212767.20978999999</v>
      </c>
      <c r="F11" s="3">
        <v>385.69930099999999</v>
      </c>
      <c r="G11" s="3" t="s">
        <v>17</v>
      </c>
      <c r="H11" s="3" t="s">
        <v>17</v>
      </c>
      <c r="I11" s="3">
        <v>4590</v>
      </c>
      <c r="J11" s="3">
        <v>301</v>
      </c>
      <c r="K11" s="3">
        <v>768</v>
      </c>
      <c r="L11" s="3">
        <v>432.05381299999999</v>
      </c>
      <c r="M11" s="3">
        <v>87.380347</v>
      </c>
      <c r="N11" s="3">
        <v>26.766148999999999</v>
      </c>
      <c r="P11" s="9">
        <f t="shared" si="0"/>
        <v>9.2125348867135595E-2</v>
      </c>
    </row>
    <row r="12" spans="1:16" x14ac:dyDescent="0.25">
      <c r="A12" s="3">
        <v>7</v>
      </c>
      <c r="B12" s="3" t="s">
        <v>23</v>
      </c>
      <c r="C12" s="3" t="s">
        <v>16</v>
      </c>
      <c r="D12" s="4">
        <v>1904685</v>
      </c>
      <c r="E12" s="4">
        <v>149090.24475499999</v>
      </c>
      <c r="F12" s="3">
        <v>382.48251699999997</v>
      </c>
      <c r="G12" s="3" t="s">
        <v>17</v>
      </c>
      <c r="H12" s="3" t="s">
        <v>17</v>
      </c>
      <c r="I12" s="3">
        <v>4590</v>
      </c>
      <c r="J12" s="3">
        <v>296</v>
      </c>
      <c r="K12" s="3">
        <v>610</v>
      </c>
      <c r="L12" s="3">
        <v>414.96405199999998</v>
      </c>
      <c r="M12" s="3">
        <v>63.927875</v>
      </c>
      <c r="N12" s="3">
        <v>26.766148999999999</v>
      </c>
      <c r="P12" s="9">
        <f t="shared" si="0"/>
        <v>6.4554076844347233E-2</v>
      </c>
    </row>
    <row r="13" spans="1:16" x14ac:dyDescent="0.25">
      <c r="A13" s="3">
        <v>8</v>
      </c>
      <c r="B13" s="3" t="s">
        <v>24</v>
      </c>
      <c r="C13" s="3" t="s">
        <v>16</v>
      </c>
      <c r="D13" s="4">
        <v>1881091</v>
      </c>
      <c r="E13" s="4">
        <v>148510.44055900001</v>
      </c>
      <c r="F13" s="3">
        <v>377.46853099999998</v>
      </c>
      <c r="G13" s="3" t="s">
        <v>17</v>
      </c>
      <c r="H13" s="3" t="s">
        <v>17</v>
      </c>
      <c r="I13" s="3">
        <v>4590</v>
      </c>
      <c r="J13" s="3">
        <v>279</v>
      </c>
      <c r="K13" s="3">
        <v>599</v>
      </c>
      <c r="L13" s="3">
        <v>409.82374700000003</v>
      </c>
      <c r="M13" s="3">
        <v>57.290503999999999</v>
      </c>
      <c r="N13" s="3">
        <v>26.766148999999999</v>
      </c>
      <c r="P13" s="9">
        <f t="shared" si="0"/>
        <v>6.4303029402009437E-2</v>
      </c>
    </row>
    <row r="14" spans="1:16" x14ac:dyDescent="0.25">
      <c r="A14" s="3">
        <v>9</v>
      </c>
      <c r="B14" s="3" t="s">
        <v>25</v>
      </c>
      <c r="C14" s="3" t="s">
        <v>16</v>
      </c>
      <c r="D14" s="4">
        <v>4627439</v>
      </c>
      <c r="E14" s="4">
        <v>2665342.3916079998</v>
      </c>
      <c r="F14" s="3">
        <v>427.47202800000002</v>
      </c>
      <c r="G14" s="3" t="s">
        <v>17</v>
      </c>
      <c r="H14" s="3" t="s">
        <v>17</v>
      </c>
      <c r="I14" s="3">
        <v>4590</v>
      </c>
      <c r="J14" s="3">
        <v>263</v>
      </c>
      <c r="K14" s="4">
        <v>6831</v>
      </c>
      <c r="L14" s="4">
        <v>1008.156645</v>
      </c>
      <c r="M14" s="4">
        <v>1059.747873</v>
      </c>
      <c r="N14" s="3">
        <v>26.766148999999999</v>
      </c>
      <c r="P14">
        <f>E14/2665342.391608</f>
        <v>1</v>
      </c>
    </row>
    <row r="15" spans="1:16" x14ac:dyDescent="0.25">
      <c r="A15" s="3">
        <v>10</v>
      </c>
      <c r="B15" s="3" t="s">
        <v>26</v>
      </c>
      <c r="C15" s="3" t="s">
        <v>16</v>
      </c>
      <c r="D15" s="4">
        <v>5022101</v>
      </c>
      <c r="E15" s="4">
        <v>3059635.2657340001</v>
      </c>
      <c r="F15" s="3">
        <v>427.55244800000003</v>
      </c>
      <c r="G15" s="3" t="s">
        <v>17</v>
      </c>
      <c r="H15" s="3" t="s">
        <v>17</v>
      </c>
      <c r="I15" s="3">
        <v>4590</v>
      </c>
      <c r="J15" s="3">
        <v>271</v>
      </c>
      <c r="K15" s="4">
        <v>7359</v>
      </c>
      <c r="L15" s="4">
        <v>1094.139651</v>
      </c>
      <c r="M15" s="4">
        <v>1157.309387</v>
      </c>
      <c r="N15" s="3">
        <v>26.766148999999999</v>
      </c>
      <c r="P15" s="9">
        <f t="shared" ref="P15:P21" si="1">E15/2665342.391608</f>
        <v>1.1479332919355714</v>
      </c>
    </row>
    <row r="16" spans="1:16" x14ac:dyDescent="0.25">
      <c r="A16" s="3">
        <v>11</v>
      </c>
      <c r="B16" s="3" t="s">
        <v>27</v>
      </c>
      <c r="C16" s="3" t="s">
        <v>16</v>
      </c>
      <c r="D16" s="4">
        <v>5079576</v>
      </c>
      <c r="E16" s="4">
        <v>3076618.7622380001</v>
      </c>
      <c r="F16" s="3">
        <v>436.37412599999999</v>
      </c>
      <c r="G16" s="3" t="s">
        <v>17</v>
      </c>
      <c r="H16" s="3" t="s">
        <v>17</v>
      </c>
      <c r="I16" s="3">
        <v>4590</v>
      </c>
      <c r="J16" s="3">
        <v>270</v>
      </c>
      <c r="K16" s="4">
        <v>6565</v>
      </c>
      <c r="L16" s="4">
        <v>1106.6614380000001</v>
      </c>
      <c r="M16" s="4">
        <v>1152.2441140000001</v>
      </c>
      <c r="N16" s="3">
        <v>26.766148999999999</v>
      </c>
      <c r="P16" s="9">
        <f t="shared" si="1"/>
        <v>1.1543052674676733</v>
      </c>
    </row>
    <row r="17" spans="1:16" x14ac:dyDescent="0.25">
      <c r="A17" s="3">
        <v>12</v>
      </c>
      <c r="B17" s="3" t="s">
        <v>28</v>
      </c>
      <c r="C17" s="3" t="s">
        <v>16</v>
      </c>
      <c r="D17" s="4">
        <v>5420841</v>
      </c>
      <c r="E17" s="4">
        <v>3467250.3356639999</v>
      </c>
      <c r="F17" s="3">
        <v>425.61888099999999</v>
      </c>
      <c r="G17" s="3" t="s">
        <v>17</v>
      </c>
      <c r="H17" s="3" t="s">
        <v>17</v>
      </c>
      <c r="I17" s="3">
        <v>4590</v>
      </c>
      <c r="J17" s="3">
        <v>274</v>
      </c>
      <c r="K17" s="4">
        <v>7215</v>
      </c>
      <c r="L17" s="4">
        <v>1181.011111</v>
      </c>
      <c r="M17" s="4">
        <v>1290.38724</v>
      </c>
      <c r="N17" s="3">
        <v>26.766148999999999</v>
      </c>
      <c r="P17" s="9">
        <f t="shared" si="1"/>
        <v>1.3008648894719337</v>
      </c>
    </row>
    <row r="18" spans="1:16" x14ac:dyDescent="0.25">
      <c r="A18" s="3">
        <v>13</v>
      </c>
      <c r="B18" s="3" t="s">
        <v>29</v>
      </c>
      <c r="C18" s="3" t="s">
        <v>16</v>
      </c>
      <c r="D18" s="4">
        <v>6643236</v>
      </c>
      <c r="E18" s="4">
        <v>4427100.5454550004</v>
      </c>
      <c r="F18" s="3">
        <v>482.81818199999998</v>
      </c>
      <c r="G18" s="3" t="s">
        <v>17</v>
      </c>
      <c r="H18" s="3" t="s">
        <v>17</v>
      </c>
      <c r="I18" s="3">
        <v>4590</v>
      </c>
      <c r="J18" s="3">
        <v>280</v>
      </c>
      <c r="K18" s="4">
        <v>9263</v>
      </c>
      <c r="L18" s="4">
        <v>1447.3281050000001</v>
      </c>
      <c r="M18" s="4">
        <v>1600.386753</v>
      </c>
      <c r="N18" s="3">
        <v>26.766148999999999</v>
      </c>
      <c r="P18" s="9">
        <f t="shared" si="1"/>
        <v>1.6609875561931586</v>
      </c>
    </row>
    <row r="19" spans="1:16" x14ac:dyDescent="0.25">
      <c r="A19" s="3">
        <v>14</v>
      </c>
      <c r="B19" s="3" t="s">
        <v>30</v>
      </c>
      <c r="C19" s="3" t="s">
        <v>16</v>
      </c>
      <c r="D19" s="4">
        <v>6647767</v>
      </c>
      <c r="E19" s="4">
        <v>4377803.3636360001</v>
      </c>
      <c r="F19" s="3">
        <v>494.545455</v>
      </c>
      <c r="G19" s="3" t="s">
        <v>17</v>
      </c>
      <c r="H19" s="3" t="s">
        <v>17</v>
      </c>
      <c r="I19" s="3">
        <v>4590</v>
      </c>
      <c r="J19" s="3">
        <v>277</v>
      </c>
      <c r="K19" s="4">
        <v>10011</v>
      </c>
      <c r="L19" s="4">
        <v>1448.315251</v>
      </c>
      <c r="M19" s="4">
        <v>1674.4268770000001</v>
      </c>
      <c r="N19" s="3">
        <v>26.766148999999999</v>
      </c>
      <c r="P19" s="9">
        <f t="shared" si="1"/>
        <v>1.642491928023879</v>
      </c>
    </row>
    <row r="20" spans="1:16" x14ac:dyDescent="0.25">
      <c r="A20" s="3">
        <v>15</v>
      </c>
      <c r="B20" s="3" t="s">
        <v>31</v>
      </c>
      <c r="C20" s="3" t="s">
        <v>16</v>
      </c>
      <c r="D20" s="4">
        <v>6672151</v>
      </c>
      <c r="E20" s="4">
        <v>4412330.3006990002</v>
      </c>
      <c r="F20" s="3">
        <v>492.33566400000001</v>
      </c>
      <c r="G20" s="3" t="s">
        <v>17</v>
      </c>
      <c r="H20" s="3" t="s">
        <v>17</v>
      </c>
      <c r="I20" s="3">
        <v>4590</v>
      </c>
      <c r="J20" s="3">
        <v>274</v>
      </c>
      <c r="K20" s="4">
        <v>8229</v>
      </c>
      <c r="L20" s="4">
        <v>1453.627669</v>
      </c>
      <c r="M20" s="4">
        <v>1535.435095</v>
      </c>
      <c r="N20" s="3">
        <v>26.766148999999999</v>
      </c>
      <c r="P20" s="9">
        <f t="shared" si="1"/>
        <v>1.6554459624367597</v>
      </c>
    </row>
    <row r="21" spans="1:16" x14ac:dyDescent="0.25">
      <c r="A21" s="3">
        <v>16</v>
      </c>
      <c r="B21" s="3" t="s">
        <v>32</v>
      </c>
      <c r="C21" s="3" t="s">
        <v>16</v>
      </c>
      <c r="D21" s="4">
        <v>6944757</v>
      </c>
      <c r="E21" s="4">
        <v>4605622.3846150003</v>
      </c>
      <c r="F21" s="3">
        <v>509.615385</v>
      </c>
      <c r="G21" s="3" t="s">
        <v>17</v>
      </c>
      <c r="H21" s="3" t="s">
        <v>17</v>
      </c>
      <c r="I21" s="3">
        <v>4590</v>
      </c>
      <c r="J21" s="3">
        <v>278</v>
      </c>
      <c r="K21" s="4">
        <v>7935</v>
      </c>
      <c r="L21" s="4">
        <v>1513.0189539999999</v>
      </c>
      <c r="M21" s="4">
        <v>1544.3736590000001</v>
      </c>
      <c r="N21" s="3">
        <v>26.766148999999999</v>
      </c>
      <c r="P21" s="9">
        <f t="shared" si="1"/>
        <v>1.7279665078363273</v>
      </c>
    </row>
    <row r="22" spans="1:16" x14ac:dyDescent="0.25">
      <c r="A22" s="3">
        <v>17</v>
      </c>
      <c r="B22" s="3" t="s">
        <v>35</v>
      </c>
      <c r="C22" s="3" t="s">
        <v>16</v>
      </c>
      <c r="D22" s="4">
        <v>9613746</v>
      </c>
      <c r="E22" s="4">
        <v>6957339.671329</v>
      </c>
      <c r="F22" s="3">
        <v>578.73776199999998</v>
      </c>
      <c r="G22" s="3" t="s">
        <v>17</v>
      </c>
      <c r="H22" s="3" t="s">
        <v>17</v>
      </c>
      <c r="I22" s="3">
        <v>4590</v>
      </c>
      <c r="J22" s="3">
        <v>325</v>
      </c>
      <c r="K22" s="4">
        <v>8268</v>
      </c>
      <c r="L22" s="4">
        <v>2094.4980390000001</v>
      </c>
      <c r="M22" s="4">
        <v>1845.4122170000001</v>
      </c>
      <c r="N22" s="3">
        <v>26.766148999999999</v>
      </c>
      <c r="P22">
        <f>E22/6957339.671329</f>
        <v>1</v>
      </c>
    </row>
    <row r="23" spans="1:16" x14ac:dyDescent="0.25">
      <c r="A23" s="3">
        <v>18</v>
      </c>
      <c r="B23" s="3" t="s">
        <v>36</v>
      </c>
      <c r="C23" s="3" t="s">
        <v>16</v>
      </c>
      <c r="D23" s="4">
        <v>8088727</v>
      </c>
      <c r="E23" s="4">
        <v>5754599.6573430002</v>
      </c>
      <c r="F23" s="3">
        <v>508.52447599999999</v>
      </c>
      <c r="G23" s="3" t="s">
        <v>17</v>
      </c>
      <c r="H23" s="3" t="s">
        <v>17</v>
      </c>
      <c r="I23" s="3">
        <v>4590</v>
      </c>
      <c r="J23" s="3">
        <v>295</v>
      </c>
      <c r="K23" s="4">
        <v>6566</v>
      </c>
      <c r="L23" s="4">
        <v>1762.2498909999999</v>
      </c>
      <c r="M23" s="4">
        <v>1535.616037</v>
      </c>
      <c r="N23" s="3">
        <v>26.766148999999999</v>
      </c>
      <c r="P23" s="9">
        <f t="shared" ref="P23:P29" si="2">E23/6957339.671329</f>
        <v>0.82712644907327759</v>
      </c>
    </row>
    <row r="24" spans="1:16" x14ac:dyDescent="0.25">
      <c r="A24" s="3">
        <v>19</v>
      </c>
      <c r="B24" s="3" t="s">
        <v>37</v>
      </c>
      <c r="C24" s="3" t="s">
        <v>16</v>
      </c>
      <c r="D24" s="4">
        <v>8193601</v>
      </c>
      <c r="E24" s="4">
        <v>5853647.8881120002</v>
      </c>
      <c r="F24" s="3">
        <v>509.79370599999999</v>
      </c>
      <c r="G24" s="3" t="s">
        <v>17</v>
      </c>
      <c r="H24" s="3" t="s">
        <v>17</v>
      </c>
      <c r="I24" s="3">
        <v>4590</v>
      </c>
      <c r="J24" s="3">
        <v>288</v>
      </c>
      <c r="K24" s="4">
        <v>6784</v>
      </c>
      <c r="L24" s="4">
        <v>1785.0982570000001</v>
      </c>
      <c r="M24" s="4">
        <v>1670.8304450000001</v>
      </c>
      <c r="N24" s="3">
        <v>26.766148999999999</v>
      </c>
      <c r="P24" s="9">
        <f t="shared" si="2"/>
        <v>0.84136295834954233</v>
      </c>
    </row>
    <row r="25" spans="1:16" x14ac:dyDescent="0.25">
      <c r="A25" s="3">
        <v>20</v>
      </c>
      <c r="B25" s="3" t="s">
        <v>38</v>
      </c>
      <c r="C25" s="3" t="s">
        <v>16</v>
      </c>
      <c r="D25" s="4">
        <v>7793126</v>
      </c>
      <c r="E25" s="4">
        <v>5286729.2167830002</v>
      </c>
      <c r="F25" s="3">
        <v>546.05594399999995</v>
      </c>
      <c r="G25" s="3" t="s">
        <v>17</v>
      </c>
      <c r="H25" s="3" t="s">
        <v>17</v>
      </c>
      <c r="I25" s="3">
        <v>4590</v>
      </c>
      <c r="J25" s="3">
        <v>280</v>
      </c>
      <c r="K25" s="4">
        <v>6672</v>
      </c>
      <c r="L25" s="4">
        <v>1697.848802</v>
      </c>
      <c r="M25" s="4">
        <v>1509.9043730000001</v>
      </c>
      <c r="N25" s="3">
        <v>26.766148999999999</v>
      </c>
      <c r="P25" s="9">
        <f t="shared" si="2"/>
        <v>0.75987798016668096</v>
      </c>
    </row>
    <row r="26" spans="1:16" x14ac:dyDescent="0.25">
      <c r="A26" s="3">
        <v>21</v>
      </c>
      <c r="B26" s="3" t="s">
        <v>39</v>
      </c>
      <c r="C26" s="3" t="s">
        <v>16</v>
      </c>
      <c r="D26" s="4">
        <v>6540367</v>
      </c>
      <c r="E26" s="4">
        <v>4155557.0699300002</v>
      </c>
      <c r="F26" s="3">
        <v>519.56643399999996</v>
      </c>
      <c r="G26" s="3" t="s">
        <v>17</v>
      </c>
      <c r="H26" s="3" t="s">
        <v>17</v>
      </c>
      <c r="I26" s="3">
        <v>4590</v>
      </c>
      <c r="J26" s="3">
        <v>293</v>
      </c>
      <c r="K26" s="4">
        <v>5617</v>
      </c>
      <c r="L26" s="4">
        <v>1424.9165579999999</v>
      </c>
      <c r="M26" s="4">
        <v>1185.2332610000001</v>
      </c>
      <c r="N26" s="3">
        <v>26.766148999999999</v>
      </c>
      <c r="P26" s="9">
        <f t="shared" si="2"/>
        <v>0.59729110065661062</v>
      </c>
    </row>
    <row r="27" spans="1:16" x14ac:dyDescent="0.25">
      <c r="A27" s="3">
        <v>22</v>
      </c>
      <c r="B27" s="3" t="s">
        <v>40</v>
      </c>
      <c r="C27" s="3" t="s">
        <v>16</v>
      </c>
      <c r="D27" s="4">
        <v>4671556</v>
      </c>
      <c r="E27" s="4">
        <v>2630546.6993010002</v>
      </c>
      <c r="F27" s="3">
        <v>444.66433599999999</v>
      </c>
      <c r="G27" s="3" t="s">
        <v>17</v>
      </c>
      <c r="H27" s="3" t="s">
        <v>17</v>
      </c>
      <c r="I27" s="3">
        <v>4590</v>
      </c>
      <c r="J27" s="3">
        <v>275</v>
      </c>
      <c r="K27" s="4">
        <v>3479</v>
      </c>
      <c r="L27" s="4">
        <v>1017.768192</v>
      </c>
      <c r="M27" s="3">
        <v>722.75690299999997</v>
      </c>
      <c r="N27" s="3">
        <v>26.766148999999999</v>
      </c>
      <c r="P27" s="9">
        <f t="shared" si="2"/>
        <v>0.37809663227187379</v>
      </c>
    </row>
    <row r="28" spans="1:16" x14ac:dyDescent="0.25">
      <c r="A28" s="3">
        <v>23</v>
      </c>
      <c r="B28" s="3" t="s">
        <v>41</v>
      </c>
      <c r="C28" s="3" t="s">
        <v>16</v>
      </c>
      <c r="D28" s="4">
        <v>3651824</v>
      </c>
      <c r="E28" s="4">
        <v>1643506.4125870001</v>
      </c>
      <c r="F28" s="3">
        <v>437.54195800000002</v>
      </c>
      <c r="G28" s="3" t="s">
        <v>17</v>
      </c>
      <c r="H28" s="3" t="s">
        <v>17</v>
      </c>
      <c r="I28" s="3">
        <v>4590</v>
      </c>
      <c r="J28" s="3">
        <v>287</v>
      </c>
      <c r="K28" s="4">
        <v>2259</v>
      </c>
      <c r="L28" s="3">
        <v>795.60435700000005</v>
      </c>
      <c r="M28" s="3">
        <v>416.35388999999998</v>
      </c>
      <c r="N28" s="3">
        <v>26.766148999999999</v>
      </c>
      <c r="P28" s="9">
        <f t="shared" si="2"/>
        <v>0.23622627185500852</v>
      </c>
    </row>
    <row r="29" spans="1:16" x14ac:dyDescent="0.25">
      <c r="A29" s="3">
        <v>24</v>
      </c>
      <c r="B29" s="3" t="s">
        <v>42</v>
      </c>
      <c r="C29" s="3" t="s">
        <v>16</v>
      </c>
      <c r="D29" s="4">
        <v>2610512</v>
      </c>
      <c r="E29" s="4">
        <v>663790.28671300004</v>
      </c>
      <c r="F29" s="3">
        <v>424.12237800000003</v>
      </c>
      <c r="G29" s="3" t="s">
        <v>17</v>
      </c>
      <c r="H29" s="3" t="s">
        <v>17</v>
      </c>
      <c r="I29" s="3">
        <v>4590</v>
      </c>
      <c r="J29" s="3">
        <v>270</v>
      </c>
      <c r="K29" s="4">
        <v>1122</v>
      </c>
      <c r="L29" s="3">
        <v>568.73899800000004</v>
      </c>
      <c r="M29" s="3">
        <v>169.605504</v>
      </c>
      <c r="N29" s="3">
        <v>26.766148999999999</v>
      </c>
      <c r="P29" s="9">
        <f t="shared" si="2"/>
        <v>9.5408635781929846E-2</v>
      </c>
    </row>
    <row r="30" spans="1:16" x14ac:dyDescent="0.25">
      <c r="A30" s="3">
        <v>25</v>
      </c>
      <c r="B30" s="3" t="s">
        <v>43</v>
      </c>
      <c r="C30" s="3" t="s">
        <v>16</v>
      </c>
      <c r="D30" s="4">
        <v>11777125</v>
      </c>
      <c r="E30" s="4">
        <v>8145873.2867130004</v>
      </c>
      <c r="F30" s="3">
        <v>791.12237800000003</v>
      </c>
      <c r="G30" s="3" t="s">
        <v>17</v>
      </c>
      <c r="H30" s="3" t="s">
        <v>17</v>
      </c>
      <c r="I30" s="3">
        <v>4590</v>
      </c>
      <c r="J30" s="3">
        <v>426</v>
      </c>
      <c r="K30" s="4">
        <v>11691</v>
      </c>
      <c r="L30" s="4">
        <v>2565.8224399999999</v>
      </c>
      <c r="M30" s="4">
        <v>2442.42166</v>
      </c>
      <c r="N30" s="3">
        <v>26.766148999999999</v>
      </c>
      <c r="P30">
        <f>E30/8145873.286713</f>
        <v>1</v>
      </c>
    </row>
    <row r="31" spans="1:16" x14ac:dyDescent="0.25">
      <c r="A31" s="3">
        <v>26</v>
      </c>
      <c r="B31" s="3" t="s">
        <v>44</v>
      </c>
      <c r="C31" s="3" t="s">
        <v>16</v>
      </c>
      <c r="D31" s="4">
        <v>10571735</v>
      </c>
      <c r="E31" s="4">
        <v>7108933.0769229997</v>
      </c>
      <c r="F31" s="3">
        <v>754.42307700000003</v>
      </c>
      <c r="G31" s="3" t="s">
        <v>17</v>
      </c>
      <c r="H31" s="3" t="s">
        <v>17</v>
      </c>
      <c r="I31" s="3">
        <v>4590</v>
      </c>
      <c r="J31" s="3">
        <v>380</v>
      </c>
      <c r="K31" s="4">
        <v>9835</v>
      </c>
      <c r="L31" s="4">
        <v>2303.2102399999999</v>
      </c>
      <c r="M31" s="4">
        <v>2123.4655990000001</v>
      </c>
      <c r="N31" s="3">
        <v>26.766148999999999</v>
      </c>
      <c r="P31" s="9">
        <f t="shared" ref="P31:P37" si="3">E31/8145873.286713</f>
        <v>0.87270361650709838</v>
      </c>
    </row>
    <row r="32" spans="1:16" x14ac:dyDescent="0.25">
      <c r="A32" s="3">
        <v>27</v>
      </c>
      <c r="B32" s="3" t="s">
        <v>45</v>
      </c>
      <c r="C32" s="3" t="s">
        <v>16</v>
      </c>
      <c r="D32" s="4">
        <v>11551209</v>
      </c>
      <c r="E32" s="4">
        <v>7878583.0909089996</v>
      </c>
      <c r="F32" s="3">
        <v>800.13636399999996</v>
      </c>
      <c r="G32" s="3" t="s">
        <v>17</v>
      </c>
      <c r="H32" s="3" t="s">
        <v>17</v>
      </c>
      <c r="I32" s="3">
        <v>4590</v>
      </c>
      <c r="J32" s="3">
        <v>356</v>
      </c>
      <c r="K32" s="4">
        <v>11103</v>
      </c>
      <c r="L32" s="4">
        <v>2516.6032679999998</v>
      </c>
      <c r="M32" s="4">
        <v>2510.3282039999999</v>
      </c>
      <c r="N32" s="3">
        <v>26.766148999999999</v>
      </c>
      <c r="P32" s="9">
        <f t="shared" si="3"/>
        <v>0.96718704227329599</v>
      </c>
    </row>
    <row r="33" spans="1:16" x14ac:dyDescent="0.25">
      <c r="A33" s="3">
        <v>28</v>
      </c>
      <c r="B33" s="3" t="s">
        <v>46</v>
      </c>
      <c r="C33" s="3" t="s">
        <v>16</v>
      </c>
      <c r="D33" s="4">
        <v>11985286</v>
      </c>
      <c r="E33" s="4">
        <v>8027534.4265729999</v>
      </c>
      <c r="F33" s="3">
        <v>862.25524499999995</v>
      </c>
      <c r="G33" s="3" t="s">
        <v>17</v>
      </c>
      <c r="H33" s="3" t="s">
        <v>17</v>
      </c>
      <c r="I33" s="3">
        <v>4590</v>
      </c>
      <c r="J33" s="3">
        <v>364</v>
      </c>
      <c r="K33" s="4">
        <v>11646</v>
      </c>
      <c r="L33" s="4">
        <v>2611.1734200000001</v>
      </c>
      <c r="M33" s="4">
        <v>2483.1781689999998</v>
      </c>
      <c r="N33" s="3">
        <v>26.766148999999999</v>
      </c>
      <c r="P33" s="9">
        <f t="shared" si="3"/>
        <v>0.98547253855114259</v>
      </c>
    </row>
    <row r="34" spans="1:16" x14ac:dyDescent="0.25">
      <c r="A34" s="3">
        <v>29</v>
      </c>
      <c r="B34" s="3" t="s">
        <v>47</v>
      </c>
      <c r="C34" s="3" t="s">
        <v>16</v>
      </c>
      <c r="D34" s="4">
        <v>11833843</v>
      </c>
      <c r="E34" s="4">
        <v>7553828.4895099998</v>
      </c>
      <c r="F34" s="3">
        <v>932.46503499999994</v>
      </c>
      <c r="G34" s="3" t="s">
        <v>17</v>
      </c>
      <c r="H34" s="3" t="s">
        <v>17</v>
      </c>
      <c r="I34" s="3">
        <v>4590</v>
      </c>
      <c r="J34" s="3">
        <v>370</v>
      </c>
      <c r="K34" s="4">
        <v>11642</v>
      </c>
      <c r="L34" s="4">
        <v>2578.1793029999999</v>
      </c>
      <c r="M34" s="4">
        <v>2459.6309070000002</v>
      </c>
      <c r="N34" s="3">
        <v>26.766148999999999</v>
      </c>
      <c r="P34" s="9">
        <f t="shared" si="3"/>
        <v>0.92731966526305976</v>
      </c>
    </row>
    <row r="35" spans="1:16" x14ac:dyDescent="0.25">
      <c r="A35" s="3">
        <v>30</v>
      </c>
      <c r="B35" s="3" t="s">
        <v>48</v>
      </c>
      <c r="C35" s="3" t="s">
        <v>16</v>
      </c>
      <c r="D35" s="4">
        <v>13264626</v>
      </c>
      <c r="E35" s="4">
        <v>8774482.5734269992</v>
      </c>
      <c r="F35" s="3">
        <v>978.24475500000005</v>
      </c>
      <c r="G35" s="3" t="s">
        <v>17</v>
      </c>
      <c r="H35" s="3" t="s">
        <v>17</v>
      </c>
      <c r="I35" s="3">
        <v>4590</v>
      </c>
      <c r="J35" s="3">
        <v>377</v>
      </c>
      <c r="K35" s="4">
        <v>13984</v>
      </c>
      <c r="L35" s="4">
        <v>2889.8967320000002</v>
      </c>
      <c r="M35" s="4">
        <v>3018.6737170000001</v>
      </c>
      <c r="N35" s="3">
        <v>26.766148999999999</v>
      </c>
      <c r="P35" s="9">
        <f t="shared" si="3"/>
        <v>1.0771690480061045</v>
      </c>
    </row>
    <row r="36" spans="1:16" x14ac:dyDescent="0.25">
      <c r="A36" s="3">
        <v>31</v>
      </c>
      <c r="B36" s="3" t="s">
        <v>49</v>
      </c>
      <c r="C36" s="3" t="s">
        <v>16</v>
      </c>
      <c r="D36" s="4">
        <v>17515432</v>
      </c>
      <c r="E36" s="4">
        <v>12859005.391608</v>
      </c>
      <c r="F36" s="4">
        <v>1014.472028</v>
      </c>
      <c r="G36" s="3" t="s">
        <v>17</v>
      </c>
      <c r="H36" s="3" t="s">
        <v>17</v>
      </c>
      <c r="I36" s="3">
        <v>4590</v>
      </c>
      <c r="J36" s="3">
        <v>408</v>
      </c>
      <c r="K36" s="4">
        <v>19734</v>
      </c>
      <c r="L36" s="4">
        <v>3815.9982570000002</v>
      </c>
      <c r="M36" s="4">
        <v>3996.369287</v>
      </c>
      <c r="N36" s="3">
        <v>26.766148999999999</v>
      </c>
      <c r="P36" s="9">
        <f t="shared" si="3"/>
        <v>1.5785913847423507</v>
      </c>
    </row>
    <row r="37" spans="1:16" x14ac:dyDescent="0.25">
      <c r="A37" s="3">
        <v>32</v>
      </c>
      <c r="B37" s="3" t="s">
        <v>50</v>
      </c>
      <c r="C37" s="3" t="s">
        <v>16</v>
      </c>
      <c r="D37" s="4">
        <v>19114245</v>
      </c>
      <c r="E37" s="4">
        <v>13749610.279720001</v>
      </c>
      <c r="F37" s="4">
        <v>1168.7657340000001</v>
      </c>
      <c r="G37" s="3" t="s">
        <v>17</v>
      </c>
      <c r="H37" s="3" t="s">
        <v>17</v>
      </c>
      <c r="I37" s="3">
        <v>4590</v>
      </c>
      <c r="J37" s="3">
        <v>404</v>
      </c>
      <c r="K37" s="4">
        <v>19322</v>
      </c>
      <c r="L37" s="4">
        <v>4164.3235290000002</v>
      </c>
      <c r="M37" s="4">
        <v>4321.8398790000001</v>
      </c>
      <c r="N37" s="3">
        <v>26.766148999999999</v>
      </c>
      <c r="P37" s="9">
        <f t="shared" si="3"/>
        <v>1.6879234178792639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topLeftCell="A16" workbookViewId="0">
      <selection activeCell="P23" sqref="P23:P38"/>
    </sheetView>
  </sheetViews>
  <sheetFormatPr defaultRowHeight="15" x14ac:dyDescent="0.25"/>
  <cols>
    <col min="5" max="5" width="17.42578125" customWidth="1"/>
  </cols>
  <sheetData>
    <row r="1" spans="1:16" x14ac:dyDescent="0.25">
      <c r="A1" s="2" t="s">
        <v>72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6" s="7" customFormat="1" x14ac:dyDescent="0.25">
      <c r="A2" s="2" t="s">
        <v>51</v>
      </c>
    </row>
    <row r="3" spans="1:16" s="7" customFormat="1" x14ac:dyDescent="0.25">
      <c r="A3" s="2" t="s">
        <v>70</v>
      </c>
    </row>
    <row r="4" spans="1:16" s="7" customFormat="1" x14ac:dyDescent="0.25">
      <c r="A4" s="2" t="s">
        <v>71</v>
      </c>
    </row>
    <row r="5" spans="1:16" s="7" customFormat="1" x14ac:dyDescent="0.25"/>
    <row r="6" spans="1:16" x14ac:dyDescent="0.25">
      <c r="A6" s="7" t="s">
        <v>1</v>
      </c>
      <c r="B6" s="7" t="s">
        <v>2</v>
      </c>
      <c r="C6" s="7" t="s">
        <v>3</v>
      </c>
      <c r="D6" s="7" t="s">
        <v>4</v>
      </c>
      <c r="E6" s="7" t="s">
        <v>5</v>
      </c>
      <c r="F6" s="7" t="s">
        <v>6</v>
      </c>
      <c r="G6" s="7" t="s">
        <v>7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14</v>
      </c>
      <c r="P6" t="s">
        <v>86</v>
      </c>
    </row>
    <row r="7" spans="1:16" x14ac:dyDescent="0.25">
      <c r="A7" s="7">
        <v>1</v>
      </c>
      <c r="B7" s="7" t="s">
        <v>15</v>
      </c>
      <c r="C7" s="7" t="s">
        <v>16</v>
      </c>
      <c r="D7" s="8">
        <v>13559762</v>
      </c>
      <c r="E7" s="8">
        <v>6843353.4191619996</v>
      </c>
      <c r="F7" s="8">
        <v>1051.739521</v>
      </c>
      <c r="G7" s="7" t="s">
        <v>17</v>
      </c>
      <c r="H7" s="7" t="s">
        <v>17</v>
      </c>
      <c r="I7" s="7">
        <v>6386</v>
      </c>
      <c r="J7" s="7">
        <v>443</v>
      </c>
      <c r="K7" s="8">
        <v>6860</v>
      </c>
      <c r="L7" s="8">
        <v>2123.357657</v>
      </c>
      <c r="M7" s="8">
        <v>1472.8868729999999</v>
      </c>
      <c r="N7" s="7">
        <v>37.239351999999997</v>
      </c>
      <c r="P7">
        <f>E7/6843353.419162</f>
        <v>1</v>
      </c>
    </row>
    <row r="8" spans="1:16" x14ac:dyDescent="0.25">
      <c r="A8" s="7">
        <v>2</v>
      </c>
      <c r="B8" s="7" t="s">
        <v>18</v>
      </c>
      <c r="C8" s="7" t="s">
        <v>16</v>
      </c>
      <c r="D8" s="8">
        <v>11903589</v>
      </c>
      <c r="E8" s="8">
        <v>7279627.8862279998</v>
      </c>
      <c r="F8" s="7">
        <v>724.07784400000003</v>
      </c>
      <c r="G8" s="7" t="s">
        <v>17</v>
      </c>
      <c r="H8" s="7" t="s">
        <v>17</v>
      </c>
      <c r="I8" s="7">
        <v>6386</v>
      </c>
      <c r="J8" s="7">
        <v>412</v>
      </c>
      <c r="K8" s="8">
        <v>7631</v>
      </c>
      <c r="L8" s="8">
        <v>1864.01331</v>
      </c>
      <c r="M8" s="8">
        <v>1634.49136</v>
      </c>
      <c r="N8" s="7">
        <v>37.239351999999997</v>
      </c>
      <c r="P8" s="9">
        <f t="shared" ref="P8:P14" si="0">E8/6843353.419162</f>
        <v>1.0637515616020055</v>
      </c>
    </row>
    <row r="9" spans="1:16" x14ac:dyDescent="0.25">
      <c r="A9" s="7">
        <v>3</v>
      </c>
      <c r="B9" s="7" t="s">
        <v>19</v>
      </c>
      <c r="C9" s="7" t="s">
        <v>16</v>
      </c>
      <c r="D9" s="8">
        <v>8225376</v>
      </c>
      <c r="E9" s="8">
        <v>4220799.5269459998</v>
      </c>
      <c r="F9" s="7">
        <v>627.08682599999997</v>
      </c>
      <c r="G9" s="7" t="s">
        <v>17</v>
      </c>
      <c r="H9" s="7" t="s">
        <v>17</v>
      </c>
      <c r="I9" s="7">
        <v>6386</v>
      </c>
      <c r="J9" s="7">
        <v>395</v>
      </c>
      <c r="K9" s="8">
        <v>4405</v>
      </c>
      <c r="L9" s="8">
        <v>1288.032571</v>
      </c>
      <c r="M9" s="7">
        <v>928.05400799999995</v>
      </c>
      <c r="N9" s="7">
        <v>37.239351999999997</v>
      </c>
      <c r="P9" s="9">
        <f t="shared" si="0"/>
        <v>0.61677357114530795</v>
      </c>
    </row>
    <row r="10" spans="1:16" x14ac:dyDescent="0.25">
      <c r="A10" s="7">
        <v>4</v>
      </c>
      <c r="B10" s="7" t="s">
        <v>20</v>
      </c>
      <c r="C10" s="7" t="s">
        <v>16</v>
      </c>
      <c r="D10" s="8">
        <v>6891449</v>
      </c>
      <c r="E10" s="8">
        <v>2976047.0898199999</v>
      </c>
      <c r="F10" s="7">
        <v>613.12275399999999</v>
      </c>
      <c r="G10" s="7" t="s">
        <v>17</v>
      </c>
      <c r="H10" s="7" t="s">
        <v>17</v>
      </c>
      <c r="I10" s="7">
        <v>6386</v>
      </c>
      <c r="J10" s="7">
        <v>385</v>
      </c>
      <c r="K10" s="8">
        <v>3656</v>
      </c>
      <c r="L10" s="8">
        <v>1079.1495460000001</v>
      </c>
      <c r="M10" s="7">
        <v>691.05770299999995</v>
      </c>
      <c r="N10" s="7">
        <v>37.239351999999997</v>
      </c>
      <c r="P10" s="9">
        <f t="shared" si="0"/>
        <v>0.43488139622992478</v>
      </c>
    </row>
    <row r="11" spans="1:16" x14ac:dyDescent="0.25">
      <c r="A11" s="7">
        <v>5</v>
      </c>
      <c r="B11" s="7" t="s">
        <v>21</v>
      </c>
      <c r="C11" s="7" t="s">
        <v>16</v>
      </c>
      <c r="D11" s="8">
        <v>5175709</v>
      </c>
      <c r="E11" s="8">
        <v>1362406.610778</v>
      </c>
      <c r="F11" s="7">
        <v>597.13473099999999</v>
      </c>
      <c r="G11" s="7" t="s">
        <v>17</v>
      </c>
      <c r="H11" s="7" t="s">
        <v>17</v>
      </c>
      <c r="I11" s="7">
        <v>6386</v>
      </c>
      <c r="J11" s="7">
        <v>348</v>
      </c>
      <c r="K11" s="8">
        <v>2019</v>
      </c>
      <c r="L11" s="7">
        <v>810.47745099999997</v>
      </c>
      <c r="M11" s="7">
        <v>352.69575400000002</v>
      </c>
      <c r="N11" s="7">
        <v>37.239351999999997</v>
      </c>
      <c r="P11" s="9">
        <f t="shared" si="0"/>
        <v>0.1990846486114746</v>
      </c>
    </row>
    <row r="12" spans="1:16" x14ac:dyDescent="0.25">
      <c r="A12" s="7">
        <v>6</v>
      </c>
      <c r="B12" s="7" t="s">
        <v>22</v>
      </c>
      <c r="C12" s="7" t="s">
        <v>16</v>
      </c>
      <c r="D12" s="8">
        <v>4083390</v>
      </c>
      <c r="E12" s="8">
        <v>413275.49700600002</v>
      </c>
      <c r="F12" s="7">
        <v>574.71257500000002</v>
      </c>
      <c r="G12" s="7" t="s">
        <v>17</v>
      </c>
      <c r="H12" s="7" t="s">
        <v>17</v>
      </c>
      <c r="I12" s="7">
        <v>6386</v>
      </c>
      <c r="J12" s="7">
        <v>356</v>
      </c>
      <c r="K12" s="8">
        <v>2491</v>
      </c>
      <c r="L12" s="7">
        <v>639.42843700000003</v>
      </c>
      <c r="M12" s="7">
        <v>168.05419499999999</v>
      </c>
      <c r="N12" s="7">
        <v>37.239351999999997</v>
      </c>
      <c r="P12" s="9">
        <f t="shared" si="0"/>
        <v>6.039078675211948E-2</v>
      </c>
    </row>
    <row r="13" spans="1:16" x14ac:dyDescent="0.25">
      <c r="A13" s="7">
        <v>7</v>
      </c>
      <c r="B13" s="7" t="s">
        <v>23</v>
      </c>
      <c r="C13" s="7" t="s">
        <v>16</v>
      </c>
      <c r="D13" s="8">
        <v>3958629</v>
      </c>
      <c r="E13" s="8">
        <v>330176.45509</v>
      </c>
      <c r="F13" s="7">
        <v>568.18862300000001</v>
      </c>
      <c r="G13" s="7" t="s">
        <v>17</v>
      </c>
      <c r="H13" s="7" t="s">
        <v>17</v>
      </c>
      <c r="I13" s="7">
        <v>6386</v>
      </c>
      <c r="J13" s="7">
        <v>375</v>
      </c>
      <c r="K13" s="8">
        <v>1083</v>
      </c>
      <c r="L13" s="7">
        <v>619.891795</v>
      </c>
      <c r="M13" s="7">
        <v>146.20132699999999</v>
      </c>
      <c r="N13" s="7">
        <v>37.239351999999997</v>
      </c>
      <c r="P13" s="9">
        <f t="shared" si="0"/>
        <v>4.824775732983138E-2</v>
      </c>
    </row>
    <row r="14" spans="1:16" x14ac:dyDescent="0.25">
      <c r="A14" s="7">
        <v>8</v>
      </c>
      <c r="B14" s="7" t="s">
        <v>24</v>
      </c>
      <c r="C14" s="7" t="s">
        <v>16</v>
      </c>
      <c r="D14" s="8">
        <v>3903123</v>
      </c>
      <c r="E14" s="8">
        <v>378012.76047899999</v>
      </c>
      <c r="F14" s="7">
        <v>552.005988</v>
      </c>
      <c r="G14" s="7" t="s">
        <v>17</v>
      </c>
      <c r="H14" s="7" t="s">
        <v>17</v>
      </c>
      <c r="I14" s="7">
        <v>6386</v>
      </c>
      <c r="J14" s="7">
        <v>369</v>
      </c>
      <c r="K14" s="8">
        <v>1000</v>
      </c>
      <c r="L14" s="7">
        <v>611.19996900000001</v>
      </c>
      <c r="M14" s="7">
        <v>137.02364299999999</v>
      </c>
      <c r="N14" s="7">
        <v>37.239351999999997</v>
      </c>
      <c r="P14" s="9">
        <f t="shared" si="0"/>
        <v>5.5237942179126767E-2</v>
      </c>
    </row>
    <row r="15" spans="1:16" x14ac:dyDescent="0.25">
      <c r="A15" s="7">
        <v>9</v>
      </c>
      <c r="B15" s="7" t="s">
        <v>25</v>
      </c>
      <c r="C15" s="7" t="s">
        <v>16</v>
      </c>
      <c r="D15" s="8">
        <v>9283661</v>
      </c>
      <c r="E15" s="8">
        <v>4795775.2215569997</v>
      </c>
      <c r="F15" s="7">
        <v>702.76946099999998</v>
      </c>
      <c r="G15" s="7" t="s">
        <v>17</v>
      </c>
      <c r="H15" s="7" t="s">
        <v>17</v>
      </c>
      <c r="I15" s="7">
        <v>6386</v>
      </c>
      <c r="J15" s="7">
        <v>339</v>
      </c>
      <c r="K15" s="8">
        <v>5975</v>
      </c>
      <c r="L15" s="8">
        <v>1453.7521139999999</v>
      </c>
      <c r="M15" s="8">
        <v>1118.9913340000001</v>
      </c>
      <c r="N15" s="7">
        <v>37.239351999999997</v>
      </c>
      <c r="P15">
        <f>E15/4795775.221557</f>
        <v>1</v>
      </c>
    </row>
    <row r="16" spans="1:16" x14ac:dyDescent="0.25">
      <c r="A16" s="7">
        <v>10</v>
      </c>
      <c r="B16" s="7" t="s">
        <v>26</v>
      </c>
      <c r="C16" s="7" t="s">
        <v>16</v>
      </c>
      <c r="D16" s="8">
        <v>14042635</v>
      </c>
      <c r="E16" s="8">
        <v>9359230.5508980006</v>
      </c>
      <c r="F16" s="7">
        <v>733.38622799999996</v>
      </c>
      <c r="G16" s="7" t="s">
        <v>17</v>
      </c>
      <c r="H16" s="7" t="s">
        <v>17</v>
      </c>
      <c r="I16" s="7">
        <v>6386</v>
      </c>
      <c r="J16" s="7">
        <v>284</v>
      </c>
      <c r="K16" s="8">
        <v>10020</v>
      </c>
      <c r="L16" s="8">
        <v>2198.9719700000001</v>
      </c>
      <c r="M16" s="8">
        <v>2051.7908609999999</v>
      </c>
      <c r="N16" s="7">
        <v>37.239351999999997</v>
      </c>
      <c r="P16" s="9">
        <f t="shared" ref="P16:P22" si="1">E16/4795775.221557</f>
        <v>1.9515573850976748</v>
      </c>
    </row>
    <row r="17" spans="1:16" x14ac:dyDescent="0.25">
      <c r="A17" s="7">
        <v>11</v>
      </c>
      <c r="B17" s="7" t="s">
        <v>27</v>
      </c>
      <c r="C17" s="7" t="s">
        <v>16</v>
      </c>
      <c r="D17" s="8">
        <v>19220987</v>
      </c>
      <c r="E17" s="8">
        <v>14529055.137724999</v>
      </c>
      <c r="F17" s="7">
        <v>734.72155699999996</v>
      </c>
      <c r="G17" s="7" t="s">
        <v>17</v>
      </c>
      <c r="H17" s="7" t="s">
        <v>17</v>
      </c>
      <c r="I17" s="7">
        <v>6386</v>
      </c>
      <c r="J17" s="7">
        <v>328</v>
      </c>
      <c r="K17" s="8">
        <v>15800</v>
      </c>
      <c r="L17" s="8">
        <v>3009.8632950000001</v>
      </c>
      <c r="M17" s="8">
        <v>3428.6958199999999</v>
      </c>
      <c r="N17" s="7">
        <v>37.239351999999997</v>
      </c>
      <c r="P17" s="9">
        <f t="shared" si="1"/>
        <v>3.0295529849724665</v>
      </c>
    </row>
    <row r="18" spans="1:16" x14ac:dyDescent="0.25">
      <c r="A18" s="7">
        <v>12</v>
      </c>
      <c r="B18" s="7" t="s">
        <v>28</v>
      </c>
      <c r="C18" s="7" t="s">
        <v>16</v>
      </c>
      <c r="D18" s="8">
        <v>23657221</v>
      </c>
      <c r="E18" s="8">
        <v>18744914.778443001</v>
      </c>
      <c r="F18" s="7">
        <v>769.23053900000002</v>
      </c>
      <c r="G18" s="7" t="s">
        <v>17</v>
      </c>
      <c r="H18" s="7" t="s">
        <v>17</v>
      </c>
      <c r="I18" s="7">
        <v>6386</v>
      </c>
      <c r="J18" s="7">
        <v>323</v>
      </c>
      <c r="K18" s="8">
        <v>20995</v>
      </c>
      <c r="L18" s="8">
        <v>3704.544472</v>
      </c>
      <c r="M18" s="8">
        <v>4388.4925720000001</v>
      </c>
      <c r="N18" s="7">
        <v>37.239351999999997</v>
      </c>
      <c r="P18" s="9">
        <f t="shared" si="1"/>
        <v>3.9086308078378336</v>
      </c>
    </row>
    <row r="19" spans="1:16" x14ac:dyDescent="0.25">
      <c r="A19" s="7">
        <v>13</v>
      </c>
      <c r="B19" s="7" t="s">
        <v>29</v>
      </c>
      <c r="C19" s="7" t="s">
        <v>16</v>
      </c>
      <c r="D19" s="8">
        <v>25336351</v>
      </c>
      <c r="E19" s="8">
        <v>20075472.42515</v>
      </c>
      <c r="F19" s="7">
        <v>823.81437100000005</v>
      </c>
      <c r="G19" s="7" t="s">
        <v>17</v>
      </c>
      <c r="H19" s="7" t="s">
        <v>17</v>
      </c>
      <c r="I19" s="7">
        <v>6386</v>
      </c>
      <c r="J19" s="7">
        <v>338</v>
      </c>
      <c r="K19" s="8">
        <v>24217</v>
      </c>
      <c r="L19" s="8">
        <v>3967.483714</v>
      </c>
      <c r="M19" s="8">
        <v>4921.2422120000001</v>
      </c>
      <c r="N19" s="7">
        <v>37.239351999999997</v>
      </c>
      <c r="P19" s="9">
        <f t="shared" si="1"/>
        <v>4.1860745130236277</v>
      </c>
    </row>
    <row r="20" spans="1:16" x14ac:dyDescent="0.25">
      <c r="A20" s="7">
        <v>14</v>
      </c>
      <c r="B20" s="7" t="s">
        <v>30</v>
      </c>
      <c r="C20" s="7" t="s">
        <v>16</v>
      </c>
      <c r="D20" s="8">
        <v>23681393</v>
      </c>
      <c r="E20" s="8">
        <v>18765817.299401</v>
      </c>
      <c r="F20" s="7">
        <v>769.74251500000003</v>
      </c>
      <c r="G20" s="7" t="s">
        <v>17</v>
      </c>
      <c r="H20" s="7" t="s">
        <v>17</v>
      </c>
      <c r="I20" s="7">
        <v>6386</v>
      </c>
      <c r="J20" s="7">
        <v>326</v>
      </c>
      <c r="K20" s="8">
        <v>22101</v>
      </c>
      <c r="L20" s="8">
        <v>3708.3296270000001</v>
      </c>
      <c r="M20" s="8">
        <v>4605.1391409999997</v>
      </c>
      <c r="N20" s="7">
        <v>37.239351999999997</v>
      </c>
      <c r="P20" s="9">
        <f t="shared" si="1"/>
        <v>3.9129893359156389</v>
      </c>
    </row>
    <row r="21" spans="1:16" x14ac:dyDescent="0.25">
      <c r="A21" s="7">
        <v>15</v>
      </c>
      <c r="B21" s="7" t="s">
        <v>31</v>
      </c>
      <c r="C21" s="7" t="s">
        <v>16</v>
      </c>
      <c r="D21" s="8">
        <v>24234806</v>
      </c>
      <c r="E21" s="8">
        <v>19072375.071856</v>
      </c>
      <c r="F21" s="7">
        <v>808.39820399999996</v>
      </c>
      <c r="G21" s="7" t="s">
        <v>17</v>
      </c>
      <c r="H21" s="7" t="s">
        <v>17</v>
      </c>
      <c r="I21" s="7">
        <v>6386</v>
      </c>
      <c r="J21" s="7">
        <v>345</v>
      </c>
      <c r="K21" s="8">
        <v>22007</v>
      </c>
      <c r="L21" s="8">
        <v>3794.9899780000001</v>
      </c>
      <c r="M21" s="8">
        <v>4546.5522629999996</v>
      </c>
      <c r="N21" s="7">
        <v>37.239351999999997</v>
      </c>
      <c r="P21" s="9">
        <f t="shared" si="1"/>
        <v>3.9769118006460586</v>
      </c>
    </row>
    <row r="22" spans="1:16" x14ac:dyDescent="0.25">
      <c r="A22" s="7">
        <v>16</v>
      </c>
      <c r="B22" s="7" t="s">
        <v>32</v>
      </c>
      <c r="C22" s="7" t="s">
        <v>16</v>
      </c>
      <c r="D22" s="8">
        <v>24870606</v>
      </c>
      <c r="E22" s="8">
        <v>19146838.023952</v>
      </c>
      <c r="F22" s="7">
        <v>896.29940099999999</v>
      </c>
      <c r="G22" s="7" t="s">
        <v>17</v>
      </c>
      <c r="H22" s="7" t="s">
        <v>17</v>
      </c>
      <c r="I22" s="7">
        <v>6386</v>
      </c>
      <c r="J22" s="7">
        <v>329</v>
      </c>
      <c r="K22" s="8">
        <v>19772</v>
      </c>
      <c r="L22" s="8">
        <v>3894.5515190000001</v>
      </c>
      <c r="M22" s="8">
        <v>4290.4419189999999</v>
      </c>
      <c r="N22" s="7">
        <v>37.239351999999997</v>
      </c>
      <c r="P22" s="9">
        <f t="shared" si="1"/>
        <v>3.9924385817514971</v>
      </c>
    </row>
    <row r="23" spans="1:16" x14ac:dyDescent="0.25">
      <c r="A23" s="7">
        <v>17</v>
      </c>
      <c r="B23" s="7" t="s">
        <v>35</v>
      </c>
      <c r="C23" s="7" t="s">
        <v>16</v>
      </c>
      <c r="D23" s="8">
        <v>19464149</v>
      </c>
      <c r="E23" s="8">
        <v>14407565.065868</v>
      </c>
      <c r="F23" s="7">
        <v>791.823353</v>
      </c>
      <c r="G23" s="7" t="s">
        <v>17</v>
      </c>
      <c r="H23" s="7" t="s">
        <v>17</v>
      </c>
      <c r="I23" s="7">
        <v>6386</v>
      </c>
      <c r="J23" s="7">
        <v>374</v>
      </c>
      <c r="K23" s="8">
        <v>16279</v>
      </c>
      <c r="L23" s="8">
        <v>3047.9406509999999</v>
      </c>
      <c r="M23" s="8">
        <v>3595.550643</v>
      </c>
      <c r="N23" s="7">
        <v>37.239351999999997</v>
      </c>
      <c r="P23">
        <f>E23/14407565.065868</f>
        <v>1</v>
      </c>
    </row>
    <row r="24" spans="1:16" x14ac:dyDescent="0.25">
      <c r="A24" s="7">
        <v>18</v>
      </c>
      <c r="B24" s="7" t="s">
        <v>36</v>
      </c>
      <c r="C24" s="7" t="s">
        <v>16</v>
      </c>
      <c r="D24" s="8">
        <v>23088094</v>
      </c>
      <c r="E24" s="8">
        <v>17544242.970059998</v>
      </c>
      <c r="F24" s="7">
        <v>868.12574900000004</v>
      </c>
      <c r="G24" s="7" t="s">
        <v>17</v>
      </c>
      <c r="H24" s="7" t="s">
        <v>17</v>
      </c>
      <c r="I24" s="7">
        <v>6386</v>
      </c>
      <c r="J24" s="7">
        <v>403</v>
      </c>
      <c r="K24" s="8">
        <v>20507</v>
      </c>
      <c r="L24" s="8">
        <v>3615.4234259999998</v>
      </c>
      <c r="M24" s="8">
        <v>4276.8841130000001</v>
      </c>
      <c r="N24" s="7">
        <v>37.239351999999997</v>
      </c>
      <c r="P24" s="9">
        <f t="shared" ref="P24:P30" si="2">E24/14407565.065868</f>
        <v>1.2177104798660874</v>
      </c>
    </row>
    <row r="25" spans="1:16" x14ac:dyDescent="0.25">
      <c r="A25" s="7">
        <v>19</v>
      </c>
      <c r="B25" s="7" t="s">
        <v>37</v>
      </c>
      <c r="C25" s="7" t="s">
        <v>16</v>
      </c>
      <c r="D25" s="8">
        <v>22217936</v>
      </c>
      <c r="E25" s="8">
        <v>16589900.664671</v>
      </c>
      <c r="F25" s="7">
        <v>881.30838300000005</v>
      </c>
      <c r="G25" s="7" t="s">
        <v>17</v>
      </c>
      <c r="H25" s="7" t="s">
        <v>17</v>
      </c>
      <c r="I25" s="7">
        <v>6386</v>
      </c>
      <c r="J25" s="7">
        <v>394</v>
      </c>
      <c r="K25" s="8">
        <v>19331</v>
      </c>
      <c r="L25" s="8">
        <v>3479.1631689999999</v>
      </c>
      <c r="M25" s="8">
        <v>4170.7093999999997</v>
      </c>
      <c r="N25" s="7">
        <v>37.239351999999997</v>
      </c>
      <c r="P25" s="9">
        <f t="shared" si="2"/>
        <v>1.1514715074216826</v>
      </c>
    </row>
    <row r="26" spans="1:16" x14ac:dyDescent="0.25">
      <c r="A26" s="7">
        <v>20</v>
      </c>
      <c r="B26" s="7" t="s">
        <v>38</v>
      </c>
      <c r="C26" s="7" t="s">
        <v>16</v>
      </c>
      <c r="D26" s="8">
        <v>21313330</v>
      </c>
      <c r="E26" s="8">
        <v>16054650.197605001</v>
      </c>
      <c r="F26" s="7">
        <v>823.47005999999999</v>
      </c>
      <c r="G26" s="7" t="s">
        <v>17</v>
      </c>
      <c r="H26" s="7" t="s">
        <v>17</v>
      </c>
      <c r="I26" s="7">
        <v>6386</v>
      </c>
      <c r="J26" s="7">
        <v>376</v>
      </c>
      <c r="K26" s="8">
        <v>21130</v>
      </c>
      <c r="L26" s="8">
        <v>3337.508613</v>
      </c>
      <c r="M26" s="8">
        <v>4249.0640649999996</v>
      </c>
      <c r="N26" s="7">
        <v>37.239351999999997</v>
      </c>
      <c r="P26" s="9">
        <f t="shared" si="2"/>
        <v>1.1143208532605555</v>
      </c>
    </row>
    <row r="27" spans="1:16" x14ac:dyDescent="0.25">
      <c r="A27" s="7">
        <v>21</v>
      </c>
      <c r="B27" s="7" t="s">
        <v>39</v>
      </c>
      <c r="C27" s="7" t="s">
        <v>16</v>
      </c>
      <c r="D27" s="8">
        <v>21952373</v>
      </c>
      <c r="E27" s="8">
        <v>16306498.928144</v>
      </c>
      <c r="F27" s="7">
        <v>884.10179600000004</v>
      </c>
      <c r="G27" s="7" t="s">
        <v>17</v>
      </c>
      <c r="H27" s="7" t="s">
        <v>17</v>
      </c>
      <c r="I27" s="7">
        <v>6386</v>
      </c>
      <c r="J27" s="7">
        <v>377</v>
      </c>
      <c r="K27" s="8">
        <v>19865</v>
      </c>
      <c r="L27" s="8">
        <v>3437.5779830000001</v>
      </c>
      <c r="M27" s="8">
        <v>4189.7388289999999</v>
      </c>
      <c r="N27" s="7">
        <v>37.239351999999997</v>
      </c>
      <c r="P27" s="9">
        <f t="shared" si="2"/>
        <v>1.1318011651236362</v>
      </c>
    </row>
    <row r="28" spans="1:16" x14ac:dyDescent="0.25">
      <c r="A28" s="7">
        <v>22</v>
      </c>
      <c r="B28" s="7" t="s">
        <v>40</v>
      </c>
      <c r="C28" s="7" t="s">
        <v>16</v>
      </c>
      <c r="D28" s="8">
        <v>21634068</v>
      </c>
      <c r="E28" s="8">
        <v>16219141.514970001</v>
      </c>
      <c r="F28" s="7">
        <v>847.93712600000003</v>
      </c>
      <c r="G28" s="7" t="s">
        <v>17</v>
      </c>
      <c r="H28" s="7" t="s">
        <v>17</v>
      </c>
      <c r="I28" s="7">
        <v>6386</v>
      </c>
      <c r="J28" s="7">
        <v>354</v>
      </c>
      <c r="K28" s="8">
        <v>18654</v>
      </c>
      <c r="L28" s="8">
        <v>3387.7337929999999</v>
      </c>
      <c r="M28" s="8">
        <v>3995.6963230000001</v>
      </c>
      <c r="N28" s="7">
        <v>37.239351999999997</v>
      </c>
      <c r="P28" s="9">
        <f t="shared" si="2"/>
        <v>1.1257378634640829</v>
      </c>
    </row>
    <row r="29" spans="1:16" x14ac:dyDescent="0.25">
      <c r="A29" s="7">
        <v>23</v>
      </c>
      <c r="B29" s="7" t="s">
        <v>41</v>
      </c>
      <c r="C29" s="7" t="s">
        <v>16</v>
      </c>
      <c r="D29" s="8">
        <v>20862969</v>
      </c>
      <c r="E29" s="8">
        <v>15976187.658683</v>
      </c>
      <c r="F29" s="7">
        <v>765.23353299999997</v>
      </c>
      <c r="G29" s="7" t="s">
        <v>17</v>
      </c>
      <c r="H29" s="7" t="s">
        <v>17</v>
      </c>
      <c r="I29" s="7">
        <v>6386</v>
      </c>
      <c r="J29" s="7">
        <v>367</v>
      </c>
      <c r="K29" s="8">
        <v>20843</v>
      </c>
      <c r="L29" s="8">
        <v>3266.9854369999998</v>
      </c>
      <c r="M29" s="8">
        <v>4119.2991979999997</v>
      </c>
      <c r="N29" s="7">
        <v>37.239351999999997</v>
      </c>
      <c r="P29" s="9">
        <f t="shared" si="2"/>
        <v>1.1088749268626328</v>
      </c>
    </row>
    <row r="30" spans="1:16" x14ac:dyDescent="0.25">
      <c r="A30" s="7">
        <v>24</v>
      </c>
      <c r="B30" s="7" t="s">
        <v>42</v>
      </c>
      <c r="C30" s="7" t="s">
        <v>16</v>
      </c>
      <c r="D30" s="8">
        <v>20814703</v>
      </c>
      <c r="E30" s="8">
        <v>15898286.02994</v>
      </c>
      <c r="F30" s="7">
        <v>769.87425099999996</v>
      </c>
      <c r="G30" s="7" t="s">
        <v>17</v>
      </c>
      <c r="H30" s="7" t="s">
        <v>17</v>
      </c>
      <c r="I30" s="7">
        <v>6386</v>
      </c>
      <c r="J30" s="7">
        <v>387</v>
      </c>
      <c r="K30" s="8">
        <v>19108</v>
      </c>
      <c r="L30" s="8">
        <v>3259.4273410000001</v>
      </c>
      <c r="M30" s="8">
        <v>3920.9539650000002</v>
      </c>
      <c r="N30" s="7">
        <v>37.239351999999997</v>
      </c>
      <c r="P30" s="9">
        <f t="shared" si="2"/>
        <v>1.1034679321076653</v>
      </c>
    </row>
    <row r="31" spans="1:16" x14ac:dyDescent="0.25">
      <c r="A31" s="7">
        <v>25</v>
      </c>
      <c r="B31" s="7" t="s">
        <v>43</v>
      </c>
      <c r="C31" s="7" t="s">
        <v>16</v>
      </c>
      <c r="D31" s="8">
        <v>19486504</v>
      </c>
      <c r="E31" s="8">
        <v>13773691.646707</v>
      </c>
      <c r="F31" s="7">
        <v>894.58383200000003</v>
      </c>
      <c r="G31" s="7" t="s">
        <v>17</v>
      </c>
      <c r="H31" s="7" t="s">
        <v>17</v>
      </c>
      <c r="I31" s="7">
        <v>6386</v>
      </c>
      <c r="J31" s="7">
        <v>335</v>
      </c>
      <c r="K31" s="8">
        <v>15359</v>
      </c>
      <c r="L31" s="8">
        <v>3051.4412779999998</v>
      </c>
      <c r="M31" s="8">
        <v>3268.7979890000001</v>
      </c>
      <c r="N31" s="7">
        <v>37.239351999999997</v>
      </c>
      <c r="P31">
        <f>E31/13773691.646707</f>
        <v>1</v>
      </c>
    </row>
    <row r="32" spans="1:16" x14ac:dyDescent="0.25">
      <c r="A32" s="7">
        <v>26</v>
      </c>
      <c r="B32" s="7" t="s">
        <v>44</v>
      </c>
      <c r="C32" s="7" t="s">
        <v>16</v>
      </c>
      <c r="D32" s="8">
        <v>23513074</v>
      </c>
      <c r="E32" s="8">
        <v>17534439.616765998</v>
      </c>
      <c r="F32" s="7">
        <v>936.20958099999996</v>
      </c>
      <c r="G32" s="7" t="s">
        <v>17</v>
      </c>
      <c r="H32" s="7" t="s">
        <v>17</v>
      </c>
      <c r="I32" s="7">
        <v>6386</v>
      </c>
      <c r="J32" s="7">
        <v>394</v>
      </c>
      <c r="K32" s="8">
        <v>21449</v>
      </c>
      <c r="L32" s="8">
        <v>3681.972127</v>
      </c>
      <c r="M32" s="8">
        <v>4233.1898389999997</v>
      </c>
      <c r="N32" s="7">
        <v>37.239351999999997</v>
      </c>
      <c r="P32" s="9">
        <f t="shared" ref="P32:P38" si="3">E32/13773691.646707</f>
        <v>1.2730384900810607</v>
      </c>
    </row>
    <row r="33" spans="1:16" x14ac:dyDescent="0.25">
      <c r="A33" s="7">
        <v>27</v>
      </c>
      <c r="B33" s="7" t="s">
        <v>45</v>
      </c>
      <c r="C33" s="7" t="s">
        <v>16</v>
      </c>
      <c r="D33" s="8">
        <v>21167077</v>
      </c>
      <c r="E33" s="8">
        <v>15552425.497005999</v>
      </c>
      <c r="F33" s="7">
        <v>879.21257500000002</v>
      </c>
      <c r="G33" s="7" t="s">
        <v>17</v>
      </c>
      <c r="H33" s="7" t="s">
        <v>17</v>
      </c>
      <c r="I33" s="7">
        <v>6386</v>
      </c>
      <c r="J33" s="7">
        <v>359</v>
      </c>
      <c r="K33" s="8">
        <v>19696</v>
      </c>
      <c r="L33" s="8">
        <v>3314.606483</v>
      </c>
      <c r="M33" s="8">
        <v>4015.7833150000001</v>
      </c>
      <c r="N33" s="7">
        <v>37.239351999999997</v>
      </c>
      <c r="P33" s="9">
        <f t="shared" si="3"/>
        <v>1.1291399499802406</v>
      </c>
    </row>
    <row r="34" spans="1:16" x14ac:dyDescent="0.25">
      <c r="A34" s="7">
        <v>28</v>
      </c>
      <c r="B34" s="7" t="s">
        <v>46</v>
      </c>
      <c r="C34" s="7" t="s">
        <v>16</v>
      </c>
      <c r="D34" s="8">
        <v>20187081</v>
      </c>
      <c r="E34" s="8">
        <v>15108719.658683</v>
      </c>
      <c r="F34" s="7">
        <v>795.23353299999997</v>
      </c>
      <c r="G34" s="7" t="s">
        <v>17</v>
      </c>
      <c r="H34" s="7" t="s">
        <v>17</v>
      </c>
      <c r="I34" s="7">
        <v>6386</v>
      </c>
      <c r="J34" s="7">
        <v>352</v>
      </c>
      <c r="K34" s="8">
        <v>19915</v>
      </c>
      <c r="L34" s="8">
        <v>3161.1464139999998</v>
      </c>
      <c r="M34" s="8">
        <v>3923.0296950000002</v>
      </c>
      <c r="N34" s="7">
        <v>37.239351999999997</v>
      </c>
      <c r="P34" s="9">
        <f t="shared" si="3"/>
        <v>1.0969259401342251</v>
      </c>
    </row>
    <row r="35" spans="1:16" x14ac:dyDescent="0.25">
      <c r="A35" s="7">
        <v>29</v>
      </c>
      <c r="B35" s="7" t="s">
        <v>47</v>
      </c>
      <c r="C35" s="7" t="s">
        <v>16</v>
      </c>
      <c r="D35" s="8">
        <v>20401612</v>
      </c>
      <c r="E35" s="8">
        <v>15203446.239521001</v>
      </c>
      <c r="F35" s="7">
        <v>813.994012</v>
      </c>
      <c r="G35" s="7" t="s">
        <v>17</v>
      </c>
      <c r="H35" s="7" t="s">
        <v>17</v>
      </c>
      <c r="I35" s="7">
        <v>6386</v>
      </c>
      <c r="J35" s="7">
        <v>363</v>
      </c>
      <c r="K35" s="8">
        <v>18437</v>
      </c>
      <c r="L35" s="8">
        <v>3194.74037</v>
      </c>
      <c r="M35" s="8">
        <v>3783.3272149999998</v>
      </c>
      <c r="N35" s="7">
        <v>37.239351999999997</v>
      </c>
      <c r="P35" s="9">
        <f t="shared" si="3"/>
        <v>1.1038032961305493</v>
      </c>
    </row>
    <row r="36" spans="1:16" x14ac:dyDescent="0.25">
      <c r="A36" s="7">
        <v>30</v>
      </c>
      <c r="B36" s="7" t="s">
        <v>48</v>
      </c>
      <c r="C36" s="7" t="s">
        <v>16</v>
      </c>
      <c r="D36" s="8">
        <v>19525057</v>
      </c>
      <c r="E36" s="8">
        <v>15058948.628743</v>
      </c>
      <c r="F36" s="7">
        <v>699.35928100000001</v>
      </c>
      <c r="G36" s="7" t="s">
        <v>17</v>
      </c>
      <c r="H36" s="7" t="s">
        <v>17</v>
      </c>
      <c r="I36" s="7">
        <v>6386</v>
      </c>
      <c r="J36" s="7">
        <v>307</v>
      </c>
      <c r="K36" s="8">
        <v>18306</v>
      </c>
      <c r="L36" s="8">
        <v>3057.4783900000002</v>
      </c>
      <c r="M36" s="8">
        <v>3763.8586380000002</v>
      </c>
      <c r="N36" s="7">
        <v>37.239351999999997</v>
      </c>
      <c r="P36" s="9">
        <f t="shared" si="3"/>
        <v>1.0933124550049933</v>
      </c>
    </row>
    <row r="37" spans="1:16" x14ac:dyDescent="0.25">
      <c r="A37" s="7">
        <v>31</v>
      </c>
      <c r="B37" s="7" t="s">
        <v>49</v>
      </c>
      <c r="C37" s="7" t="s">
        <v>16</v>
      </c>
      <c r="D37" s="8">
        <v>18457844</v>
      </c>
      <c r="E37" s="8">
        <v>13879789.431138</v>
      </c>
      <c r="F37" s="7">
        <v>716.88922200000002</v>
      </c>
      <c r="G37" s="7" t="s">
        <v>17</v>
      </c>
      <c r="H37" s="7" t="s">
        <v>17</v>
      </c>
      <c r="I37" s="7">
        <v>6386</v>
      </c>
      <c r="J37" s="7">
        <v>290</v>
      </c>
      <c r="K37" s="8">
        <v>18822</v>
      </c>
      <c r="L37" s="8">
        <v>2890.3607889999998</v>
      </c>
      <c r="M37" s="8">
        <v>3685.487701</v>
      </c>
      <c r="N37" s="7">
        <v>37.239351999999997</v>
      </c>
      <c r="P37" s="9">
        <f t="shared" si="3"/>
        <v>1.0077029301332128</v>
      </c>
    </row>
    <row r="38" spans="1:16" x14ac:dyDescent="0.25">
      <c r="A38" s="7">
        <v>32</v>
      </c>
      <c r="B38" s="7" t="s">
        <v>50</v>
      </c>
      <c r="C38" s="7" t="s">
        <v>16</v>
      </c>
      <c r="D38" s="8">
        <v>18391054</v>
      </c>
      <c r="E38" s="8">
        <v>13641495.179641001</v>
      </c>
      <c r="F38" s="7">
        <v>743.74550899999997</v>
      </c>
      <c r="G38" s="7" t="s">
        <v>17</v>
      </c>
      <c r="H38" s="7" t="s">
        <v>17</v>
      </c>
      <c r="I38" s="7">
        <v>6386</v>
      </c>
      <c r="J38" s="7">
        <v>290</v>
      </c>
      <c r="K38" s="8">
        <v>19015</v>
      </c>
      <c r="L38" s="8">
        <v>2879.901973</v>
      </c>
      <c r="M38" s="8">
        <v>3794.2515290000001</v>
      </c>
      <c r="N38" s="7">
        <v>37.239351999999997</v>
      </c>
      <c r="P38" s="9">
        <f t="shared" si="3"/>
        <v>0.99040224868852755</v>
      </c>
    </row>
    <row r="39" spans="1:16" x14ac:dyDescent="0.25">
      <c r="A39" s="7">
        <v>33</v>
      </c>
      <c r="B39" s="7" t="s">
        <v>54</v>
      </c>
      <c r="C39" s="7" t="s">
        <v>16</v>
      </c>
      <c r="D39" s="8">
        <v>18906169</v>
      </c>
      <c r="E39" s="8">
        <v>12954512.598802</v>
      </c>
      <c r="F39" s="7">
        <v>931.98503000000005</v>
      </c>
      <c r="G39" s="7" t="s">
        <v>17</v>
      </c>
      <c r="H39" s="7" t="s">
        <v>17</v>
      </c>
      <c r="I39" s="7">
        <v>6386</v>
      </c>
      <c r="J39" s="7">
        <v>361</v>
      </c>
      <c r="K39" s="8">
        <v>11726</v>
      </c>
      <c r="L39" s="8">
        <v>2960.5651419999999</v>
      </c>
      <c r="M39" s="8">
        <v>2940.1382749999998</v>
      </c>
      <c r="N39" s="7">
        <v>37.239351999999997</v>
      </c>
      <c r="P39">
        <f>E39/12954512.598802</f>
        <v>1</v>
      </c>
    </row>
    <row r="40" spans="1:16" x14ac:dyDescent="0.25">
      <c r="A40" s="7">
        <v>34</v>
      </c>
      <c r="B40" s="7" t="s">
        <v>55</v>
      </c>
      <c r="C40" s="7" t="s">
        <v>16</v>
      </c>
      <c r="D40" s="8">
        <v>18077569</v>
      </c>
      <c r="E40" s="8">
        <v>12194036.305389</v>
      </c>
      <c r="F40" s="7">
        <v>921.317365</v>
      </c>
      <c r="G40" s="7" t="s">
        <v>17</v>
      </c>
      <c r="H40" s="7" t="s">
        <v>17</v>
      </c>
      <c r="I40" s="7">
        <v>6386</v>
      </c>
      <c r="J40" s="7">
        <v>344</v>
      </c>
      <c r="K40" s="8">
        <v>12693</v>
      </c>
      <c r="L40" s="8">
        <v>2830.812559</v>
      </c>
      <c r="M40" s="8">
        <v>2997.0957640000001</v>
      </c>
      <c r="N40" s="7">
        <v>37.239351999999997</v>
      </c>
      <c r="P40" s="9">
        <f t="shared" ref="P40:P46" si="4">E40/12954512.598802</f>
        <v>0.94129641793830765</v>
      </c>
    </row>
    <row r="41" spans="1:16" x14ac:dyDescent="0.25">
      <c r="A41" s="7">
        <v>35</v>
      </c>
      <c r="B41" s="7" t="s">
        <v>56</v>
      </c>
      <c r="C41" s="7" t="s">
        <v>16</v>
      </c>
      <c r="D41" s="8">
        <v>17471795</v>
      </c>
      <c r="E41" s="8">
        <v>10196687.898204001</v>
      </c>
      <c r="F41" s="8">
        <v>1139.227545</v>
      </c>
      <c r="G41" s="7" t="s">
        <v>17</v>
      </c>
      <c r="H41" s="7" t="s">
        <v>17</v>
      </c>
      <c r="I41" s="7">
        <v>6386</v>
      </c>
      <c r="J41" s="7">
        <v>352</v>
      </c>
      <c r="K41" s="8">
        <v>11774</v>
      </c>
      <c r="L41" s="8">
        <v>2735.9528660000001</v>
      </c>
      <c r="M41" s="8">
        <v>2855.0442870000002</v>
      </c>
      <c r="N41" s="7">
        <v>37.239351999999997</v>
      </c>
      <c r="P41" s="9">
        <f t="shared" si="4"/>
        <v>0.78711474634305911</v>
      </c>
    </row>
    <row r="42" spans="1:16" x14ac:dyDescent="0.25">
      <c r="A42" s="7">
        <v>36</v>
      </c>
      <c r="B42" s="7" t="s">
        <v>57</v>
      </c>
      <c r="C42" s="7" t="s">
        <v>16</v>
      </c>
      <c r="D42" s="8">
        <v>16545605</v>
      </c>
      <c r="E42" s="8">
        <v>10770768.143712999</v>
      </c>
      <c r="F42" s="7">
        <v>904.29640700000004</v>
      </c>
      <c r="G42" s="7" t="s">
        <v>17</v>
      </c>
      <c r="H42" s="7" t="s">
        <v>17</v>
      </c>
      <c r="I42" s="7">
        <v>6386</v>
      </c>
      <c r="J42" s="7">
        <v>347</v>
      </c>
      <c r="K42" s="8">
        <v>10744</v>
      </c>
      <c r="L42" s="8">
        <v>2590.9184150000001</v>
      </c>
      <c r="M42" s="8">
        <v>2584.9348639999998</v>
      </c>
      <c r="N42" s="7">
        <v>37.239351999999997</v>
      </c>
      <c r="P42" s="9">
        <f t="shared" si="4"/>
        <v>0.8314298250564095</v>
      </c>
    </row>
    <row r="43" spans="1:16" x14ac:dyDescent="0.25">
      <c r="A43" s="7">
        <v>37</v>
      </c>
      <c r="B43" s="7" t="s">
        <v>58</v>
      </c>
      <c r="C43" s="7" t="s">
        <v>16</v>
      </c>
      <c r="D43" s="8">
        <v>13765900</v>
      </c>
      <c r="E43" s="8">
        <v>7609528.323353</v>
      </c>
      <c r="F43" s="7">
        <v>964.04191600000001</v>
      </c>
      <c r="G43" s="7" t="s">
        <v>17</v>
      </c>
      <c r="H43" s="7" t="s">
        <v>17</v>
      </c>
      <c r="I43" s="7">
        <v>6386</v>
      </c>
      <c r="J43" s="7">
        <v>334</v>
      </c>
      <c r="K43" s="8">
        <v>9054</v>
      </c>
      <c r="L43" s="8">
        <v>2155.6373319999998</v>
      </c>
      <c r="M43" s="8">
        <v>2169.946434</v>
      </c>
      <c r="N43" s="7">
        <v>37.239351999999997</v>
      </c>
      <c r="P43" s="9">
        <f t="shared" si="4"/>
        <v>0.58740367615657796</v>
      </c>
    </row>
    <row r="44" spans="1:16" x14ac:dyDescent="0.25">
      <c r="A44" s="7">
        <v>38</v>
      </c>
      <c r="B44" s="7" t="s">
        <v>59</v>
      </c>
      <c r="C44" s="7" t="s">
        <v>16</v>
      </c>
      <c r="D44" s="8">
        <v>9672303</v>
      </c>
      <c r="E44" s="8">
        <v>4905651.1137720002</v>
      </c>
      <c r="F44" s="7">
        <v>746.42215599999997</v>
      </c>
      <c r="G44" s="7" t="s">
        <v>17</v>
      </c>
      <c r="H44" s="7" t="s">
        <v>17</v>
      </c>
      <c r="I44" s="7">
        <v>6386</v>
      </c>
      <c r="J44" s="7">
        <v>317</v>
      </c>
      <c r="K44" s="8">
        <v>5506</v>
      </c>
      <c r="L44" s="8">
        <v>1514.6105540000001</v>
      </c>
      <c r="M44" s="8">
        <v>1286.718517</v>
      </c>
      <c r="N44" s="7">
        <v>37.239351999999997</v>
      </c>
      <c r="P44" s="9">
        <f t="shared" si="4"/>
        <v>0.37868280078909816</v>
      </c>
    </row>
    <row r="45" spans="1:16" x14ac:dyDescent="0.25">
      <c r="A45" s="7">
        <v>39</v>
      </c>
      <c r="B45" s="7" t="s">
        <v>60</v>
      </c>
      <c r="C45" s="7" t="s">
        <v>16</v>
      </c>
      <c r="D45" s="8">
        <v>7083910</v>
      </c>
      <c r="E45" s="8">
        <v>3460485.9520959998</v>
      </c>
      <c r="F45" s="7">
        <v>567.40119800000002</v>
      </c>
      <c r="G45" s="7" t="s">
        <v>17</v>
      </c>
      <c r="H45" s="7" t="s">
        <v>17</v>
      </c>
      <c r="I45" s="7">
        <v>6386</v>
      </c>
      <c r="J45" s="7">
        <v>332</v>
      </c>
      <c r="K45" s="8">
        <v>2905</v>
      </c>
      <c r="L45" s="8">
        <v>1109.2875039999999</v>
      </c>
      <c r="M45" s="7">
        <v>625.82086600000002</v>
      </c>
      <c r="N45" s="7">
        <v>37.239351999999997</v>
      </c>
      <c r="P45" s="9">
        <f t="shared" si="4"/>
        <v>0.26712590888336601</v>
      </c>
    </row>
    <row r="46" spans="1:16" x14ac:dyDescent="0.25">
      <c r="A46" s="7">
        <v>40</v>
      </c>
      <c r="B46" s="7" t="s">
        <v>61</v>
      </c>
      <c r="C46" s="7" t="s">
        <v>16</v>
      </c>
      <c r="D46" s="8">
        <v>4110843</v>
      </c>
      <c r="E46" s="8">
        <v>869489.125749</v>
      </c>
      <c r="F46" s="7">
        <v>507.57185600000003</v>
      </c>
      <c r="G46" s="7" t="s">
        <v>17</v>
      </c>
      <c r="H46" s="7" t="s">
        <v>17</v>
      </c>
      <c r="I46" s="7">
        <v>6386</v>
      </c>
      <c r="J46" s="7">
        <v>314</v>
      </c>
      <c r="K46" s="8">
        <v>1205</v>
      </c>
      <c r="L46" s="7">
        <v>643.72737199999995</v>
      </c>
      <c r="M46" s="7">
        <v>193.71468200000001</v>
      </c>
      <c r="N46" s="7">
        <v>37.239351999999997</v>
      </c>
      <c r="P46" s="9">
        <f t="shared" si="4"/>
        <v>6.7118629058217763E-2</v>
      </c>
    </row>
    <row r="47" spans="1:16" x14ac:dyDescent="0.25">
      <c r="A47" s="7">
        <v>41</v>
      </c>
      <c r="B47" s="7" t="s">
        <v>62</v>
      </c>
      <c r="C47" s="7" t="s">
        <v>16</v>
      </c>
      <c r="D47" s="8">
        <v>19808859</v>
      </c>
      <c r="E47" s="8">
        <v>14087672.191617001</v>
      </c>
      <c r="F47" s="7">
        <v>895.89521000000002</v>
      </c>
      <c r="G47" s="7" t="s">
        <v>17</v>
      </c>
      <c r="H47" s="7" t="s">
        <v>17</v>
      </c>
      <c r="I47" s="7">
        <v>6386</v>
      </c>
      <c r="J47" s="7">
        <v>503</v>
      </c>
      <c r="K47" s="8">
        <v>13937</v>
      </c>
      <c r="L47" s="8">
        <v>3101.919668</v>
      </c>
      <c r="M47" s="8">
        <v>3129.0490519999998</v>
      </c>
      <c r="N47" s="7">
        <v>37.239351999999997</v>
      </c>
      <c r="P47">
        <f>E47/14087672.191617</f>
        <v>1</v>
      </c>
    </row>
    <row r="48" spans="1:16" x14ac:dyDescent="0.25">
      <c r="A48" s="7">
        <v>42</v>
      </c>
      <c r="B48" s="7" t="s">
        <v>63</v>
      </c>
      <c r="C48" s="7" t="s">
        <v>16</v>
      </c>
      <c r="D48" s="8">
        <v>20612110</v>
      </c>
      <c r="E48" s="8">
        <v>14097491.371257</v>
      </c>
      <c r="F48" s="8">
        <v>1020.140719</v>
      </c>
      <c r="G48" s="7" t="s">
        <v>17</v>
      </c>
      <c r="H48" s="7" t="s">
        <v>17</v>
      </c>
      <c r="I48" s="7">
        <v>6386</v>
      </c>
      <c r="J48" s="7">
        <v>498</v>
      </c>
      <c r="K48" s="8">
        <v>15787</v>
      </c>
      <c r="L48" s="8">
        <v>3227.7027870000002</v>
      </c>
      <c r="M48" s="8">
        <v>3394.576755</v>
      </c>
      <c r="N48" s="7">
        <v>37.239351999999997</v>
      </c>
      <c r="P48" s="9">
        <f t="shared" ref="P48:P54" si="5">E48/14087672.191617</f>
        <v>1.000697005119543</v>
      </c>
    </row>
    <row r="49" spans="1:16" x14ac:dyDescent="0.25">
      <c r="A49" s="7">
        <v>43</v>
      </c>
      <c r="B49" s="7" t="s">
        <v>64</v>
      </c>
      <c r="C49" s="7" t="s">
        <v>16</v>
      </c>
      <c r="D49" s="8">
        <v>22547976</v>
      </c>
      <c r="E49" s="8">
        <v>14203768.371257</v>
      </c>
      <c r="F49" s="8">
        <v>1306.640719</v>
      </c>
      <c r="G49" s="7" t="s">
        <v>17</v>
      </c>
      <c r="H49" s="7" t="s">
        <v>17</v>
      </c>
      <c r="I49" s="7">
        <v>6386</v>
      </c>
      <c r="J49" s="7">
        <v>539</v>
      </c>
      <c r="K49" s="8">
        <v>16171</v>
      </c>
      <c r="L49" s="8">
        <v>3530.8449730000002</v>
      </c>
      <c r="M49" s="8">
        <v>3633.7105590000001</v>
      </c>
      <c r="N49" s="7">
        <v>37.239351999999997</v>
      </c>
      <c r="P49" s="9">
        <f t="shared" si="5"/>
        <v>1.0082409767959453</v>
      </c>
    </row>
    <row r="50" spans="1:16" x14ac:dyDescent="0.25">
      <c r="A50" s="7">
        <v>44</v>
      </c>
      <c r="B50" s="7" t="s">
        <v>65</v>
      </c>
      <c r="C50" s="7" t="s">
        <v>16</v>
      </c>
      <c r="D50" s="8">
        <v>23221771</v>
      </c>
      <c r="E50" s="8">
        <v>16005935.155688999</v>
      </c>
      <c r="F50" s="8">
        <v>1129.9461080000001</v>
      </c>
      <c r="G50" s="7" t="s">
        <v>17</v>
      </c>
      <c r="H50" s="7" t="s">
        <v>17</v>
      </c>
      <c r="I50" s="7">
        <v>6386</v>
      </c>
      <c r="J50" s="7">
        <v>527</v>
      </c>
      <c r="K50" s="8">
        <v>17283</v>
      </c>
      <c r="L50" s="8">
        <v>3636.3562480000001</v>
      </c>
      <c r="M50" s="8">
        <v>3783.938525</v>
      </c>
      <c r="N50" s="7">
        <v>37.239351999999997</v>
      </c>
      <c r="P50" s="9">
        <f t="shared" si="5"/>
        <v>1.1361660704465766</v>
      </c>
    </row>
    <row r="51" spans="1:16" x14ac:dyDescent="0.25">
      <c r="A51" s="7">
        <v>45</v>
      </c>
      <c r="B51" s="7" t="s">
        <v>66</v>
      </c>
      <c r="C51" s="7" t="s">
        <v>16</v>
      </c>
      <c r="D51" s="8">
        <v>23947420</v>
      </c>
      <c r="E51" s="8">
        <v>15180245.02994</v>
      </c>
      <c r="F51" s="8">
        <v>1372.874251</v>
      </c>
      <c r="G51" s="7" t="s">
        <v>17</v>
      </c>
      <c r="H51" s="7" t="s">
        <v>17</v>
      </c>
      <c r="I51" s="7">
        <v>6386</v>
      </c>
      <c r="J51" s="7">
        <v>538</v>
      </c>
      <c r="K51" s="8">
        <v>18786</v>
      </c>
      <c r="L51" s="8">
        <v>3749.9874730000001</v>
      </c>
      <c r="M51" s="8">
        <v>4047.4197060000001</v>
      </c>
      <c r="N51" s="7">
        <v>37.239351999999997</v>
      </c>
      <c r="P51" s="9">
        <f t="shared" si="5"/>
        <v>1.0775552428720725</v>
      </c>
    </row>
    <row r="52" spans="1:16" x14ac:dyDescent="0.25">
      <c r="A52" s="7">
        <v>46</v>
      </c>
      <c r="B52" s="7" t="s">
        <v>67</v>
      </c>
      <c r="C52" s="7" t="s">
        <v>16</v>
      </c>
      <c r="D52" s="8">
        <v>29286033</v>
      </c>
      <c r="E52" s="8">
        <v>20401462.700599</v>
      </c>
      <c r="F52" s="8">
        <v>1391.2574850000001</v>
      </c>
      <c r="G52" s="7" t="s">
        <v>17</v>
      </c>
      <c r="H52" s="7" t="s">
        <v>17</v>
      </c>
      <c r="I52" s="7">
        <v>6386</v>
      </c>
      <c r="J52" s="7">
        <v>578</v>
      </c>
      <c r="K52" s="8">
        <v>19494</v>
      </c>
      <c r="L52" s="8">
        <v>4585.974475</v>
      </c>
      <c r="M52" s="8">
        <v>4495.8166970000002</v>
      </c>
      <c r="N52" s="7">
        <v>37.239351999999997</v>
      </c>
      <c r="P52" s="9">
        <f t="shared" si="5"/>
        <v>1.4481784089737038</v>
      </c>
    </row>
    <row r="53" spans="1:16" x14ac:dyDescent="0.25">
      <c r="A53" s="7">
        <v>47</v>
      </c>
      <c r="B53" s="7" t="s">
        <v>68</v>
      </c>
      <c r="C53" s="7" t="s">
        <v>16</v>
      </c>
      <c r="D53" s="8">
        <v>31713511</v>
      </c>
      <c r="E53" s="8">
        <v>23177207.137724999</v>
      </c>
      <c r="F53" s="8">
        <v>1336.7215570000001</v>
      </c>
      <c r="G53" s="7" t="s">
        <v>17</v>
      </c>
      <c r="H53" s="7" t="s">
        <v>17</v>
      </c>
      <c r="I53" s="7">
        <v>6386</v>
      </c>
      <c r="J53" s="7">
        <v>631</v>
      </c>
      <c r="K53" s="8">
        <v>16630</v>
      </c>
      <c r="L53" s="8">
        <v>4966.0994360000004</v>
      </c>
      <c r="M53" s="8">
        <v>3987.680867</v>
      </c>
      <c r="N53" s="7">
        <v>37.239351999999997</v>
      </c>
      <c r="P53" s="9">
        <f t="shared" si="5"/>
        <v>1.6452119855199931</v>
      </c>
    </row>
    <row r="54" spans="1:16" x14ac:dyDescent="0.25">
      <c r="A54" s="7">
        <v>48</v>
      </c>
      <c r="B54" s="7" t="s">
        <v>69</v>
      </c>
      <c r="C54" s="7" t="s">
        <v>16</v>
      </c>
      <c r="D54" s="8">
        <v>24813852</v>
      </c>
      <c r="E54" s="8">
        <v>15179251.736527</v>
      </c>
      <c r="F54" s="8">
        <v>1508.7065869999999</v>
      </c>
      <c r="G54" s="7" t="s">
        <v>17</v>
      </c>
      <c r="H54" s="7" t="s">
        <v>17</v>
      </c>
      <c r="I54" s="7">
        <v>6386</v>
      </c>
      <c r="J54" s="7">
        <v>531</v>
      </c>
      <c r="K54" s="8">
        <v>14813</v>
      </c>
      <c r="L54" s="8">
        <v>3885.6642660000002</v>
      </c>
      <c r="M54" s="8">
        <v>3172.3598310000002</v>
      </c>
      <c r="N54" s="7">
        <v>37.239351999999997</v>
      </c>
      <c r="P54" s="9">
        <f t="shared" si="5"/>
        <v>1.0774847348846996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workbookViewId="0">
      <selection activeCell="P5" sqref="P5:P20"/>
    </sheetView>
  </sheetViews>
  <sheetFormatPr defaultRowHeight="15" x14ac:dyDescent="0.25"/>
  <cols>
    <col min="5" max="5" width="14.140625" customWidth="1"/>
  </cols>
  <sheetData>
    <row r="1" spans="1:16" x14ac:dyDescent="0.25">
      <c r="A1" s="2" t="s">
        <v>73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6" s="9" customFormat="1" x14ac:dyDescent="0.25">
      <c r="A2" s="2" t="s">
        <v>51</v>
      </c>
    </row>
    <row r="3" spans="1:16" s="9" customFormat="1" x14ac:dyDescent="0.25"/>
    <row r="4" spans="1:16" x14ac:dyDescent="0.25">
      <c r="A4" s="9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  <c r="K4" s="9" t="s">
        <v>11</v>
      </c>
      <c r="L4" s="9" t="s">
        <v>12</v>
      </c>
      <c r="M4" s="9" t="s">
        <v>13</v>
      </c>
      <c r="N4" s="9" t="s">
        <v>14</v>
      </c>
      <c r="P4" t="s">
        <v>86</v>
      </c>
    </row>
    <row r="5" spans="1:16" x14ac:dyDescent="0.25">
      <c r="A5" s="9">
        <v>1</v>
      </c>
      <c r="B5" s="9" t="s">
        <v>15</v>
      </c>
      <c r="C5" s="9" t="s">
        <v>16</v>
      </c>
      <c r="D5" s="10">
        <v>15039415</v>
      </c>
      <c r="E5" s="10">
        <v>10744212.620967999</v>
      </c>
      <c r="F5" s="9">
        <v>605.38440900000001</v>
      </c>
      <c r="G5" s="9" t="s">
        <v>17</v>
      </c>
      <c r="H5" s="9" t="s">
        <v>17</v>
      </c>
      <c r="I5" s="9">
        <v>7095</v>
      </c>
      <c r="J5" s="9">
        <v>265</v>
      </c>
      <c r="K5" s="10">
        <v>8126</v>
      </c>
      <c r="L5" s="10">
        <v>2119.7202259999999</v>
      </c>
      <c r="M5" s="10">
        <v>2021.1488890000001</v>
      </c>
      <c r="N5" s="9">
        <v>23.730108999999999</v>
      </c>
      <c r="P5">
        <f>E5/10744212.620968</f>
        <v>1</v>
      </c>
    </row>
    <row r="6" spans="1:16" x14ac:dyDescent="0.25">
      <c r="A6" s="9">
        <v>2</v>
      </c>
      <c r="B6" s="9" t="s">
        <v>18</v>
      </c>
      <c r="C6" s="9" t="s">
        <v>16</v>
      </c>
      <c r="D6" s="10">
        <v>10970364</v>
      </c>
      <c r="E6" s="10">
        <v>7563257.2661290001</v>
      </c>
      <c r="F6" s="9">
        <v>480.21236599999997</v>
      </c>
      <c r="G6" s="9" t="s">
        <v>17</v>
      </c>
      <c r="H6" s="9" t="s">
        <v>17</v>
      </c>
      <c r="I6" s="9">
        <v>7095</v>
      </c>
      <c r="J6" s="9">
        <v>264</v>
      </c>
      <c r="K6" s="10">
        <v>5688</v>
      </c>
      <c r="L6" s="10">
        <v>1546.2105710000001</v>
      </c>
      <c r="M6" s="10">
        <v>1389.704023</v>
      </c>
      <c r="N6" s="9">
        <v>23.730108999999999</v>
      </c>
      <c r="P6" s="9">
        <f t="shared" ref="P6:P12" si="0">E6/10744212.620968</f>
        <v>0.70393778799284312</v>
      </c>
    </row>
    <row r="7" spans="1:16" x14ac:dyDescent="0.25">
      <c r="A7" s="9">
        <v>3</v>
      </c>
      <c r="B7" s="9" t="s">
        <v>19</v>
      </c>
      <c r="C7" s="9" t="s">
        <v>16</v>
      </c>
      <c r="D7" s="10">
        <v>7351409</v>
      </c>
      <c r="E7" s="10">
        <v>4292338.7177419998</v>
      </c>
      <c r="F7" s="9">
        <v>431.15860199999997</v>
      </c>
      <c r="G7" s="9" t="s">
        <v>17</v>
      </c>
      <c r="H7" s="9" t="s">
        <v>17</v>
      </c>
      <c r="I7" s="9">
        <v>7095</v>
      </c>
      <c r="J7" s="9">
        <v>261</v>
      </c>
      <c r="K7" s="10">
        <v>3733</v>
      </c>
      <c r="L7" s="10">
        <v>1036.139394</v>
      </c>
      <c r="M7" s="9">
        <v>837.63482899999997</v>
      </c>
      <c r="N7" s="9">
        <v>23.730108999999999</v>
      </c>
      <c r="P7" s="9">
        <f t="shared" si="0"/>
        <v>0.39950239902784818</v>
      </c>
    </row>
    <row r="8" spans="1:16" x14ac:dyDescent="0.25">
      <c r="A8" s="9">
        <v>4</v>
      </c>
      <c r="B8" s="9" t="s">
        <v>20</v>
      </c>
      <c r="C8" s="9" t="s">
        <v>16</v>
      </c>
      <c r="D8" s="10">
        <v>5128882</v>
      </c>
      <c r="E8" s="10">
        <v>2260594.7419349998</v>
      </c>
      <c r="F8" s="9">
        <v>404.26881700000001</v>
      </c>
      <c r="G8" s="9" t="s">
        <v>17</v>
      </c>
      <c r="H8" s="9" t="s">
        <v>17</v>
      </c>
      <c r="I8" s="9">
        <v>7095</v>
      </c>
      <c r="J8" s="9">
        <v>260</v>
      </c>
      <c r="K8" s="10">
        <v>1999</v>
      </c>
      <c r="L8" s="9">
        <v>722.88682200000005</v>
      </c>
      <c r="M8" s="9">
        <v>408.73111</v>
      </c>
      <c r="N8" s="9">
        <v>23.730108999999999</v>
      </c>
      <c r="P8" s="9">
        <f t="shared" si="0"/>
        <v>0.21040115471312515</v>
      </c>
    </row>
    <row r="9" spans="1:16" x14ac:dyDescent="0.25">
      <c r="A9" s="9">
        <v>5</v>
      </c>
      <c r="B9" s="9" t="s">
        <v>21</v>
      </c>
      <c r="C9" s="9" t="s">
        <v>16</v>
      </c>
      <c r="D9" s="10">
        <v>3885818</v>
      </c>
      <c r="E9" s="10">
        <v>1117471.064516</v>
      </c>
      <c r="F9" s="9">
        <v>390.182796</v>
      </c>
      <c r="G9" s="9" t="s">
        <v>17</v>
      </c>
      <c r="H9" s="9" t="s">
        <v>17</v>
      </c>
      <c r="I9" s="9">
        <v>7095</v>
      </c>
      <c r="J9" s="9">
        <v>266</v>
      </c>
      <c r="K9" s="10">
        <v>1175</v>
      </c>
      <c r="L9" s="9">
        <v>547.68400299999996</v>
      </c>
      <c r="M9" s="9">
        <v>204.61782099999999</v>
      </c>
      <c r="N9" s="9">
        <v>23.730108999999999</v>
      </c>
      <c r="P9" s="9">
        <f t="shared" si="0"/>
        <v>0.1040067898819487</v>
      </c>
    </row>
    <row r="10" spans="1:16" x14ac:dyDescent="0.25">
      <c r="A10" s="9">
        <v>6</v>
      </c>
      <c r="B10" s="9" t="s">
        <v>22</v>
      </c>
      <c r="C10" s="9" t="s">
        <v>16</v>
      </c>
      <c r="D10" s="10">
        <v>3025815</v>
      </c>
      <c r="E10" s="10">
        <v>344133.87096799997</v>
      </c>
      <c r="F10" s="9">
        <v>377.96774199999999</v>
      </c>
      <c r="G10" s="9" t="s">
        <v>17</v>
      </c>
      <c r="H10" s="9" t="s">
        <v>17</v>
      </c>
      <c r="I10" s="9">
        <v>7095</v>
      </c>
      <c r="J10" s="9">
        <v>271</v>
      </c>
      <c r="K10" s="9">
        <v>640</v>
      </c>
      <c r="L10" s="9">
        <v>426.47145899999998</v>
      </c>
      <c r="M10" s="9">
        <v>86.693877000000001</v>
      </c>
      <c r="N10" s="9">
        <v>23.730108999999999</v>
      </c>
      <c r="P10" s="9">
        <f t="shared" si="0"/>
        <v>3.2029696647700487E-2</v>
      </c>
    </row>
    <row r="11" spans="1:16" x14ac:dyDescent="0.25">
      <c r="A11" s="9">
        <v>7</v>
      </c>
      <c r="B11" s="9" t="s">
        <v>23</v>
      </c>
      <c r="C11" s="9" t="s">
        <v>16</v>
      </c>
      <c r="D11" s="10">
        <v>3077297</v>
      </c>
      <c r="E11" s="10">
        <v>351081.39516100002</v>
      </c>
      <c r="F11" s="9">
        <v>384.24462399999999</v>
      </c>
      <c r="G11" s="9" t="s">
        <v>17</v>
      </c>
      <c r="H11" s="9" t="s">
        <v>17</v>
      </c>
      <c r="I11" s="9">
        <v>7095</v>
      </c>
      <c r="J11" s="9">
        <v>255</v>
      </c>
      <c r="K11" s="9">
        <v>654</v>
      </c>
      <c r="L11" s="9">
        <v>433.727555</v>
      </c>
      <c r="M11" s="9">
        <v>101.08814099999999</v>
      </c>
      <c r="N11" s="9">
        <v>23.730108999999999</v>
      </c>
      <c r="P11" s="9">
        <f t="shared" si="0"/>
        <v>3.26763260879483E-2</v>
      </c>
    </row>
    <row r="12" spans="1:16" x14ac:dyDescent="0.25">
      <c r="A12" s="9">
        <v>8</v>
      </c>
      <c r="B12" s="9" t="s">
        <v>24</v>
      </c>
      <c r="C12" s="9" t="s">
        <v>16</v>
      </c>
      <c r="D12" s="10">
        <v>2946218</v>
      </c>
      <c r="E12" s="10">
        <v>349028.40322600002</v>
      </c>
      <c r="F12" s="9">
        <v>366.05914000000001</v>
      </c>
      <c r="G12" s="9" t="s">
        <v>17</v>
      </c>
      <c r="H12" s="9" t="s">
        <v>17</v>
      </c>
      <c r="I12" s="9">
        <v>7095</v>
      </c>
      <c r="J12" s="9">
        <v>249</v>
      </c>
      <c r="K12" s="9">
        <v>553</v>
      </c>
      <c r="L12" s="9">
        <v>415.25271300000003</v>
      </c>
      <c r="M12" s="9">
        <v>62.028379999999999</v>
      </c>
      <c r="N12" s="9">
        <v>23.730108999999999</v>
      </c>
      <c r="P12" s="9">
        <f t="shared" si="0"/>
        <v>3.248524722461741E-2</v>
      </c>
    </row>
    <row r="13" spans="1:16" x14ac:dyDescent="0.25">
      <c r="A13" s="9">
        <v>9</v>
      </c>
      <c r="B13" s="9" t="s">
        <v>25</v>
      </c>
      <c r="C13" s="9" t="s">
        <v>16</v>
      </c>
      <c r="D13" s="10">
        <v>18477759</v>
      </c>
      <c r="E13" s="10">
        <v>13302032.790323</v>
      </c>
      <c r="F13" s="9">
        <v>729.48924699999998</v>
      </c>
      <c r="G13" s="9" t="s">
        <v>17</v>
      </c>
      <c r="H13" s="9" t="s">
        <v>17</v>
      </c>
      <c r="I13" s="9">
        <v>7095</v>
      </c>
      <c r="J13" s="9">
        <v>271</v>
      </c>
      <c r="K13" s="10">
        <v>12244</v>
      </c>
      <c r="L13" s="10">
        <v>2604.3353069999998</v>
      </c>
      <c r="M13" s="10">
        <v>2845.7233500000002</v>
      </c>
      <c r="N13" s="9">
        <v>23.730108999999999</v>
      </c>
      <c r="P13">
        <f>E13/13302032.790323</f>
        <v>1</v>
      </c>
    </row>
    <row r="14" spans="1:16" x14ac:dyDescent="0.25">
      <c r="A14" s="9">
        <v>10</v>
      </c>
      <c r="B14" s="9" t="s">
        <v>26</v>
      </c>
      <c r="C14" s="9" t="s">
        <v>16</v>
      </c>
      <c r="D14" s="10">
        <v>21359891</v>
      </c>
      <c r="E14" s="10">
        <v>15603309.346774001</v>
      </c>
      <c r="F14" s="9">
        <v>811.357527</v>
      </c>
      <c r="G14" s="9" t="s">
        <v>17</v>
      </c>
      <c r="H14" s="9" t="s">
        <v>17</v>
      </c>
      <c r="I14" s="9">
        <v>7095</v>
      </c>
      <c r="J14" s="9">
        <v>292</v>
      </c>
      <c r="K14" s="10">
        <v>13328</v>
      </c>
      <c r="L14" s="10">
        <v>3010.5554619999998</v>
      </c>
      <c r="M14" s="10">
        <v>3140.145235</v>
      </c>
      <c r="N14" s="9">
        <v>23.730108999999999</v>
      </c>
      <c r="P14" s="9">
        <f t="shared" ref="P14:P20" si="1">E14/13302032.790323</f>
        <v>1.17300187067086</v>
      </c>
    </row>
    <row r="15" spans="1:16" x14ac:dyDescent="0.25">
      <c r="A15" s="9">
        <v>11</v>
      </c>
      <c r="B15" s="9" t="s">
        <v>27</v>
      </c>
      <c r="C15" s="9" t="s">
        <v>16</v>
      </c>
      <c r="D15" s="10">
        <v>26622589</v>
      </c>
      <c r="E15" s="10">
        <v>20022579.685484</v>
      </c>
      <c r="F15" s="9">
        <v>930.23387100000002</v>
      </c>
      <c r="G15" s="9" t="s">
        <v>17</v>
      </c>
      <c r="H15" s="9" t="s">
        <v>17</v>
      </c>
      <c r="I15" s="9">
        <v>7095</v>
      </c>
      <c r="J15" s="9">
        <v>307</v>
      </c>
      <c r="K15" s="10">
        <v>17569</v>
      </c>
      <c r="L15" s="10">
        <v>3752.3028890000001</v>
      </c>
      <c r="M15" s="10">
        <v>4044.1336959999999</v>
      </c>
      <c r="N15" s="9">
        <v>23.730108999999999</v>
      </c>
      <c r="P15" s="9">
        <f t="shared" si="1"/>
        <v>1.5052270582320382</v>
      </c>
    </row>
    <row r="16" spans="1:16" x14ac:dyDescent="0.25">
      <c r="A16" s="9">
        <v>12</v>
      </c>
      <c r="B16" s="9" t="s">
        <v>28</v>
      </c>
      <c r="C16" s="9" t="s">
        <v>16</v>
      </c>
      <c r="D16" s="10">
        <v>25309499</v>
      </c>
      <c r="E16" s="10">
        <v>18858942.427418999</v>
      </c>
      <c r="F16" s="9">
        <v>909.169355</v>
      </c>
      <c r="G16" s="9" t="s">
        <v>17</v>
      </c>
      <c r="H16" s="9" t="s">
        <v>17</v>
      </c>
      <c r="I16" s="9">
        <v>7095</v>
      </c>
      <c r="J16" s="9">
        <v>283</v>
      </c>
      <c r="K16" s="10">
        <v>16598</v>
      </c>
      <c r="L16" s="10">
        <v>3567.2303029999998</v>
      </c>
      <c r="M16" s="10">
        <v>3902.6216060000002</v>
      </c>
      <c r="N16" s="9">
        <v>23.730108999999999</v>
      </c>
      <c r="P16" s="9">
        <f t="shared" si="1"/>
        <v>1.4177489053506585</v>
      </c>
    </row>
    <row r="17" spans="1:16" x14ac:dyDescent="0.25">
      <c r="A17" s="9">
        <v>13</v>
      </c>
      <c r="B17" s="9" t="s">
        <v>29</v>
      </c>
      <c r="C17" s="9" t="s">
        <v>16</v>
      </c>
      <c r="D17" s="10">
        <v>28909467</v>
      </c>
      <c r="E17" s="10">
        <v>22152414.056451999</v>
      </c>
      <c r="F17" s="9">
        <v>952.36828000000003</v>
      </c>
      <c r="G17" s="9" t="s">
        <v>17</v>
      </c>
      <c r="H17" s="9" t="s">
        <v>17</v>
      </c>
      <c r="I17" s="9">
        <v>7095</v>
      </c>
      <c r="J17" s="9">
        <v>289</v>
      </c>
      <c r="K17" s="10">
        <v>19763</v>
      </c>
      <c r="L17" s="10">
        <v>4074.6253700000002</v>
      </c>
      <c r="M17" s="10">
        <v>4591.9673380000004</v>
      </c>
      <c r="N17" s="9">
        <v>23.730108999999999</v>
      </c>
      <c r="P17" s="9">
        <f t="shared" si="1"/>
        <v>1.6653405089008273</v>
      </c>
    </row>
    <row r="18" spans="1:16" x14ac:dyDescent="0.25">
      <c r="A18" s="9">
        <v>14</v>
      </c>
      <c r="B18" s="9" t="s">
        <v>30</v>
      </c>
      <c r="C18" s="9" t="s">
        <v>16</v>
      </c>
      <c r="D18" s="10">
        <v>29087150</v>
      </c>
      <c r="E18" s="10">
        <v>21969701.572581001</v>
      </c>
      <c r="F18" s="10">
        <v>1003.163978</v>
      </c>
      <c r="G18" s="9" t="s">
        <v>17</v>
      </c>
      <c r="H18" s="9" t="s">
        <v>17</v>
      </c>
      <c r="I18" s="9">
        <v>7095</v>
      </c>
      <c r="J18" s="9">
        <v>333</v>
      </c>
      <c r="K18" s="10">
        <v>19939</v>
      </c>
      <c r="L18" s="10">
        <v>4099.6687810000003</v>
      </c>
      <c r="M18" s="10">
        <v>4619.1662299999998</v>
      </c>
      <c r="N18" s="9">
        <v>23.730108999999999</v>
      </c>
      <c r="P18" s="9">
        <f t="shared" si="1"/>
        <v>1.6516048275391098</v>
      </c>
    </row>
    <row r="19" spans="1:16" x14ac:dyDescent="0.25">
      <c r="A19" s="9">
        <v>15</v>
      </c>
      <c r="B19" s="9" t="s">
        <v>31</v>
      </c>
      <c r="C19" s="9" t="s">
        <v>16</v>
      </c>
      <c r="D19" s="10">
        <v>34840672</v>
      </c>
      <c r="E19" s="10">
        <v>26351084.903225999</v>
      </c>
      <c r="F19" s="10">
        <v>1196.5591400000001</v>
      </c>
      <c r="G19" s="9" t="s">
        <v>17</v>
      </c>
      <c r="H19" s="9" t="s">
        <v>17</v>
      </c>
      <c r="I19" s="9">
        <v>7095</v>
      </c>
      <c r="J19" s="9">
        <v>311</v>
      </c>
      <c r="K19" s="10">
        <v>24200</v>
      </c>
      <c r="L19" s="10">
        <v>4910.5950670000002</v>
      </c>
      <c r="M19" s="10">
        <v>5902.6564900000003</v>
      </c>
      <c r="N19" s="9">
        <v>23.730108999999999</v>
      </c>
      <c r="P19" s="9">
        <f t="shared" si="1"/>
        <v>1.9809818032019857</v>
      </c>
    </row>
    <row r="20" spans="1:16" x14ac:dyDescent="0.25">
      <c r="A20" s="9">
        <v>16</v>
      </c>
      <c r="B20" s="9" t="s">
        <v>32</v>
      </c>
      <c r="C20" s="9" t="s">
        <v>16</v>
      </c>
      <c r="D20" s="10">
        <v>26910352</v>
      </c>
      <c r="E20" s="10">
        <v>19881018.895160999</v>
      </c>
      <c r="F20" s="9">
        <v>990.74462400000004</v>
      </c>
      <c r="G20" s="9" t="s">
        <v>17</v>
      </c>
      <c r="H20" s="9" t="s">
        <v>17</v>
      </c>
      <c r="I20" s="9">
        <v>7095</v>
      </c>
      <c r="J20" s="9">
        <v>346</v>
      </c>
      <c r="K20" s="10">
        <v>14916</v>
      </c>
      <c r="L20" s="10">
        <v>3792.8614520000001</v>
      </c>
      <c r="M20" s="10">
        <v>3686.181638</v>
      </c>
      <c r="N20" s="9">
        <v>23.730108999999999</v>
      </c>
      <c r="P20" s="9">
        <f t="shared" si="1"/>
        <v>1.494585016331045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workbookViewId="0">
      <selection activeCell="P7" sqref="P7:P22"/>
    </sheetView>
  </sheetViews>
  <sheetFormatPr defaultRowHeight="15" x14ac:dyDescent="0.25"/>
  <cols>
    <col min="4" max="4" width="11.28515625" customWidth="1"/>
    <col min="5" max="5" width="15.140625" customWidth="1"/>
  </cols>
  <sheetData>
    <row r="1" spans="1:16" x14ac:dyDescent="0.25">
      <c r="A1" s="2" t="s">
        <v>53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6" s="5" customFormat="1" x14ac:dyDescent="0.25">
      <c r="A2" s="2" t="s">
        <v>51</v>
      </c>
    </row>
    <row r="3" spans="1:16" s="5" customFormat="1" x14ac:dyDescent="0.25">
      <c r="A3" s="2" t="s">
        <v>70</v>
      </c>
    </row>
    <row r="4" spans="1:16" s="5" customFormat="1" x14ac:dyDescent="0.25">
      <c r="A4" s="2" t="s">
        <v>71</v>
      </c>
    </row>
    <row r="5" spans="1:16" s="5" customFormat="1" x14ac:dyDescent="0.25"/>
    <row r="6" spans="1:16" x14ac:dyDescent="0.25">
      <c r="A6" s="5" t="s">
        <v>1</v>
      </c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5" t="s">
        <v>13</v>
      </c>
      <c r="N6" s="5" t="s">
        <v>14</v>
      </c>
      <c r="P6" t="s">
        <v>86</v>
      </c>
    </row>
    <row r="7" spans="1:16" x14ac:dyDescent="0.25">
      <c r="A7" s="5">
        <v>1</v>
      </c>
      <c r="B7" s="5" t="s">
        <v>15</v>
      </c>
      <c r="C7" s="5" t="s">
        <v>16</v>
      </c>
      <c r="D7" s="6">
        <v>6495393</v>
      </c>
      <c r="E7" s="6">
        <v>4275396.9669420002</v>
      </c>
      <c r="F7" s="5">
        <v>711.53719000000001</v>
      </c>
      <c r="G7" s="5" t="s">
        <v>17</v>
      </c>
      <c r="H7" s="5" t="s">
        <v>17</v>
      </c>
      <c r="I7" s="5">
        <v>3120</v>
      </c>
      <c r="J7" s="5">
        <v>345</v>
      </c>
      <c r="K7" s="6">
        <v>9277</v>
      </c>
      <c r="L7" s="6">
        <v>2081.8567309999999</v>
      </c>
      <c r="M7" s="6">
        <v>1938.8130349999999</v>
      </c>
      <c r="N7" s="5">
        <v>18.193982999999999</v>
      </c>
      <c r="P7">
        <f>E7/4275396.966942</f>
        <v>1</v>
      </c>
    </row>
    <row r="8" spans="1:16" x14ac:dyDescent="0.25">
      <c r="A8" s="5">
        <v>2</v>
      </c>
      <c r="B8" s="5" t="s">
        <v>18</v>
      </c>
      <c r="C8" s="5" t="s">
        <v>16</v>
      </c>
      <c r="D8" s="6">
        <v>5490551</v>
      </c>
      <c r="E8" s="6">
        <v>3588137.446281</v>
      </c>
      <c r="F8" s="5">
        <v>609.74793399999999</v>
      </c>
      <c r="G8" s="5" t="s">
        <v>17</v>
      </c>
      <c r="H8" s="5" t="s">
        <v>17</v>
      </c>
      <c r="I8" s="5">
        <v>3120</v>
      </c>
      <c r="J8" s="5">
        <v>348</v>
      </c>
      <c r="K8" s="6">
        <v>7455</v>
      </c>
      <c r="L8" s="6">
        <v>1759.7919870000001</v>
      </c>
      <c r="M8" s="6">
        <v>1573.486987</v>
      </c>
      <c r="N8" s="5">
        <v>18.193982999999999</v>
      </c>
      <c r="P8" s="9">
        <f t="shared" ref="P8:P14" si="0">E8/4275396.966942</f>
        <v>0.83925246568330569</v>
      </c>
    </row>
    <row r="9" spans="1:16" x14ac:dyDescent="0.25">
      <c r="A9" s="5">
        <v>3</v>
      </c>
      <c r="B9" s="5" t="s">
        <v>19</v>
      </c>
      <c r="C9" s="5" t="s">
        <v>16</v>
      </c>
      <c r="D9" s="6">
        <v>3701653</v>
      </c>
      <c r="E9" s="6">
        <v>2000311.8429749999</v>
      </c>
      <c r="F9" s="5">
        <v>545.30165299999999</v>
      </c>
      <c r="G9" s="5" t="s">
        <v>17</v>
      </c>
      <c r="H9" s="5" t="s">
        <v>17</v>
      </c>
      <c r="I9" s="5">
        <v>3120</v>
      </c>
      <c r="J9" s="5">
        <v>338</v>
      </c>
      <c r="K9" s="6">
        <v>4142</v>
      </c>
      <c r="L9" s="6">
        <v>1186.427244</v>
      </c>
      <c r="M9" s="5">
        <v>822.15032699999995</v>
      </c>
      <c r="N9" s="5">
        <v>18.193982999999999</v>
      </c>
      <c r="P9" s="9">
        <f t="shared" si="0"/>
        <v>0.46786575806684294</v>
      </c>
    </row>
    <row r="10" spans="1:16" x14ac:dyDescent="0.25">
      <c r="A10" s="5">
        <v>4</v>
      </c>
      <c r="B10" s="5" t="s">
        <v>20</v>
      </c>
      <c r="C10" s="5" t="s">
        <v>16</v>
      </c>
      <c r="D10" s="6">
        <v>2983011</v>
      </c>
      <c r="E10" s="6">
        <v>1358419.264463</v>
      </c>
      <c r="F10" s="5">
        <v>520.70247900000004</v>
      </c>
      <c r="G10" s="5" t="s">
        <v>17</v>
      </c>
      <c r="H10" s="5" t="s">
        <v>17</v>
      </c>
      <c r="I10" s="5">
        <v>3120</v>
      </c>
      <c r="J10" s="5">
        <v>319</v>
      </c>
      <c r="K10" s="6">
        <v>2807</v>
      </c>
      <c r="L10" s="5">
        <v>956.09326899999996</v>
      </c>
      <c r="M10" s="5">
        <v>535.15291000000002</v>
      </c>
      <c r="N10" s="5">
        <v>18.193982999999999</v>
      </c>
      <c r="P10" s="9">
        <f t="shared" si="0"/>
        <v>0.31772938863139449</v>
      </c>
    </row>
    <row r="11" spans="1:16" x14ac:dyDescent="0.25">
      <c r="A11" s="5">
        <v>5</v>
      </c>
      <c r="B11" s="5" t="s">
        <v>21</v>
      </c>
      <c r="C11" s="5" t="s">
        <v>16</v>
      </c>
      <c r="D11" s="6">
        <v>2137124</v>
      </c>
      <c r="E11" s="6">
        <v>623820.85950400005</v>
      </c>
      <c r="F11" s="5">
        <v>485.03305799999998</v>
      </c>
      <c r="G11" s="5" t="s">
        <v>17</v>
      </c>
      <c r="H11" s="5" t="s">
        <v>17</v>
      </c>
      <c r="I11" s="5">
        <v>3120</v>
      </c>
      <c r="J11" s="5">
        <v>320</v>
      </c>
      <c r="K11" s="6">
        <v>1644</v>
      </c>
      <c r="L11" s="5">
        <v>684.975641</v>
      </c>
      <c r="M11" s="5">
        <v>306.32050099999998</v>
      </c>
      <c r="N11" s="5">
        <v>18.193982999999999</v>
      </c>
      <c r="P11" s="9">
        <f t="shared" si="0"/>
        <v>0.14590945924494847</v>
      </c>
    </row>
    <row r="12" spans="1:16" x14ac:dyDescent="0.25">
      <c r="A12" s="5">
        <v>6</v>
      </c>
      <c r="B12" s="5" t="s">
        <v>22</v>
      </c>
      <c r="C12" s="5" t="s">
        <v>16</v>
      </c>
      <c r="D12" s="6">
        <v>1596677</v>
      </c>
      <c r="E12" s="6">
        <v>121290.884298</v>
      </c>
      <c r="F12" s="5">
        <v>472.88016499999998</v>
      </c>
      <c r="G12" s="5" t="s">
        <v>17</v>
      </c>
      <c r="H12" s="5" t="s">
        <v>17</v>
      </c>
      <c r="I12" s="5">
        <v>3120</v>
      </c>
      <c r="J12" s="5">
        <v>308</v>
      </c>
      <c r="K12" s="5">
        <v>863</v>
      </c>
      <c r="L12" s="5">
        <v>511.755449</v>
      </c>
      <c r="M12" s="5">
        <v>116.246572</v>
      </c>
      <c r="N12" s="5">
        <v>18.193982999999999</v>
      </c>
      <c r="P12" s="9">
        <f t="shared" si="0"/>
        <v>2.8369502349334812E-2</v>
      </c>
    </row>
    <row r="13" spans="1:16" x14ac:dyDescent="0.25">
      <c r="A13" s="5">
        <v>7</v>
      </c>
      <c r="B13" s="5" t="s">
        <v>23</v>
      </c>
      <c r="C13" s="5" t="s">
        <v>16</v>
      </c>
      <c r="D13" s="6">
        <v>1562188</v>
      </c>
      <c r="E13" s="6">
        <v>103807.17355399999</v>
      </c>
      <c r="F13" s="5">
        <v>467.42975200000001</v>
      </c>
      <c r="G13" s="5" t="s">
        <v>17</v>
      </c>
      <c r="H13" s="5" t="s">
        <v>17</v>
      </c>
      <c r="I13" s="5">
        <v>3120</v>
      </c>
      <c r="J13" s="5">
        <v>309</v>
      </c>
      <c r="K13" s="5">
        <v>851</v>
      </c>
      <c r="L13" s="5">
        <v>500.70128199999999</v>
      </c>
      <c r="M13" s="5">
        <v>122.15987800000001</v>
      </c>
      <c r="N13" s="5">
        <v>18.193982999999999</v>
      </c>
      <c r="P13" s="9">
        <f t="shared" si="0"/>
        <v>2.4280125180574427E-2</v>
      </c>
    </row>
    <row r="14" spans="1:16" x14ac:dyDescent="0.25">
      <c r="A14" s="5">
        <v>8</v>
      </c>
      <c r="B14" s="5" t="s">
        <v>24</v>
      </c>
      <c r="C14" s="5" t="s">
        <v>16</v>
      </c>
      <c r="D14" s="6">
        <v>1510337</v>
      </c>
      <c r="E14" s="6">
        <v>109302.289256</v>
      </c>
      <c r="F14" s="5">
        <v>449.04958699999997</v>
      </c>
      <c r="G14" s="5" t="s">
        <v>17</v>
      </c>
      <c r="H14" s="5" t="s">
        <v>17</v>
      </c>
      <c r="I14" s="5">
        <v>3120</v>
      </c>
      <c r="J14" s="5">
        <v>298</v>
      </c>
      <c r="K14" s="5">
        <v>786</v>
      </c>
      <c r="L14" s="5">
        <v>484.08237200000002</v>
      </c>
      <c r="M14" s="5">
        <v>98.573576000000003</v>
      </c>
      <c r="N14" s="5">
        <v>18.193982999999999</v>
      </c>
      <c r="P14" s="9">
        <f t="shared" si="0"/>
        <v>2.5565413013374297E-2</v>
      </c>
    </row>
    <row r="15" spans="1:16" x14ac:dyDescent="0.25">
      <c r="A15" s="5">
        <v>9</v>
      </c>
      <c r="B15" s="5" t="s">
        <v>25</v>
      </c>
      <c r="C15" s="5" t="s">
        <v>16</v>
      </c>
      <c r="D15" s="6">
        <v>6591391</v>
      </c>
      <c r="E15" s="6">
        <v>4327186.3719009999</v>
      </c>
      <c r="F15" s="5">
        <v>725.70661199999995</v>
      </c>
      <c r="G15" s="5" t="s">
        <v>17</v>
      </c>
      <c r="H15" s="5" t="s">
        <v>17</v>
      </c>
      <c r="I15" s="5">
        <v>3120</v>
      </c>
      <c r="J15" s="5">
        <v>237</v>
      </c>
      <c r="K15" s="6">
        <v>10832</v>
      </c>
      <c r="L15" s="6">
        <v>2112.625321</v>
      </c>
      <c r="M15" s="6">
        <v>2138.8951830000001</v>
      </c>
      <c r="N15" s="5">
        <v>18.193982999999999</v>
      </c>
      <c r="P15">
        <f>E15/4327186.371901</f>
        <v>1</v>
      </c>
    </row>
    <row r="16" spans="1:16" x14ac:dyDescent="0.25">
      <c r="A16" s="5">
        <v>10</v>
      </c>
      <c r="B16" s="5" t="s">
        <v>26</v>
      </c>
      <c r="C16" s="5" t="s">
        <v>16</v>
      </c>
      <c r="D16" s="6">
        <v>9010297</v>
      </c>
      <c r="E16" s="6">
        <v>6394911.8760329997</v>
      </c>
      <c r="F16" s="5">
        <v>838.26446299999998</v>
      </c>
      <c r="G16" s="5" t="s">
        <v>17</v>
      </c>
      <c r="H16" s="5" t="s">
        <v>17</v>
      </c>
      <c r="I16" s="5">
        <v>3120</v>
      </c>
      <c r="J16" s="5">
        <v>290</v>
      </c>
      <c r="K16" s="6">
        <v>14816</v>
      </c>
      <c r="L16" s="6">
        <v>2887.9157049999999</v>
      </c>
      <c r="M16" s="6">
        <v>2987.1901590000002</v>
      </c>
      <c r="N16" s="5">
        <v>18.193982999999999</v>
      </c>
      <c r="P16" s="9">
        <f t="shared" ref="P16:P22" si="1">E16/4327186.371901</f>
        <v>1.4778452616598567</v>
      </c>
    </row>
    <row r="17" spans="1:16" x14ac:dyDescent="0.25">
      <c r="A17" s="5">
        <v>11</v>
      </c>
      <c r="B17" s="5" t="s">
        <v>27</v>
      </c>
      <c r="C17" s="5" t="s">
        <v>16</v>
      </c>
      <c r="D17" s="6">
        <v>9939165</v>
      </c>
      <c r="E17" s="6">
        <v>7037410.289256</v>
      </c>
      <c r="F17" s="5">
        <v>930.04958699999997</v>
      </c>
      <c r="G17" s="5" t="s">
        <v>17</v>
      </c>
      <c r="H17" s="5" t="s">
        <v>17</v>
      </c>
      <c r="I17" s="5">
        <v>3120</v>
      </c>
      <c r="J17" s="5">
        <v>285</v>
      </c>
      <c r="K17" s="6">
        <v>15619</v>
      </c>
      <c r="L17" s="6">
        <v>3185.6298080000001</v>
      </c>
      <c r="M17" s="6">
        <v>3200.6869620000002</v>
      </c>
      <c r="N17" s="5">
        <v>18.193982999999999</v>
      </c>
      <c r="P17" s="9">
        <f t="shared" si="1"/>
        <v>1.626324748791524</v>
      </c>
    </row>
    <row r="18" spans="1:16" x14ac:dyDescent="0.25">
      <c r="A18" s="5">
        <v>12</v>
      </c>
      <c r="B18" s="5" t="s">
        <v>28</v>
      </c>
      <c r="C18" s="5" t="s">
        <v>16</v>
      </c>
      <c r="D18" s="6">
        <v>11214148</v>
      </c>
      <c r="E18" s="6">
        <v>8012125.5206610002</v>
      </c>
      <c r="F18" s="6">
        <v>1026.289256</v>
      </c>
      <c r="G18" s="5" t="s">
        <v>17</v>
      </c>
      <c r="H18" s="5" t="s">
        <v>17</v>
      </c>
      <c r="I18" s="5">
        <v>3120</v>
      </c>
      <c r="J18" s="5">
        <v>394</v>
      </c>
      <c r="K18" s="6">
        <v>15231</v>
      </c>
      <c r="L18" s="6">
        <v>3594.2782050000001</v>
      </c>
      <c r="M18" s="6">
        <v>3322.8866499999999</v>
      </c>
      <c r="N18" s="5">
        <v>18.193982999999999</v>
      </c>
      <c r="P18" s="9">
        <f t="shared" si="1"/>
        <v>1.8515785621549621</v>
      </c>
    </row>
    <row r="19" spans="1:16" x14ac:dyDescent="0.25">
      <c r="A19" s="5">
        <v>13</v>
      </c>
      <c r="B19" s="5" t="s">
        <v>29</v>
      </c>
      <c r="C19" s="5" t="s">
        <v>16</v>
      </c>
      <c r="D19" s="6">
        <v>11599533</v>
      </c>
      <c r="E19" s="6">
        <v>8730912.1735539995</v>
      </c>
      <c r="F19" s="5">
        <v>919.42975200000001</v>
      </c>
      <c r="G19" s="5" t="s">
        <v>17</v>
      </c>
      <c r="H19" s="5" t="s">
        <v>17</v>
      </c>
      <c r="I19" s="5">
        <v>3120</v>
      </c>
      <c r="J19" s="5">
        <v>355</v>
      </c>
      <c r="K19" s="6">
        <v>18818</v>
      </c>
      <c r="L19" s="6">
        <v>3717.7990380000001</v>
      </c>
      <c r="M19" s="6">
        <v>3934.2664490000002</v>
      </c>
      <c r="N19" s="5">
        <v>18.193982999999999</v>
      </c>
      <c r="P19" s="9">
        <f t="shared" si="1"/>
        <v>2.0176880363297998</v>
      </c>
    </row>
    <row r="20" spans="1:16" x14ac:dyDescent="0.25">
      <c r="A20" s="5">
        <v>14</v>
      </c>
      <c r="B20" s="5" t="s">
        <v>30</v>
      </c>
      <c r="C20" s="5" t="s">
        <v>16</v>
      </c>
      <c r="D20" s="6">
        <v>11752248</v>
      </c>
      <c r="E20" s="6">
        <v>8775858.2479340006</v>
      </c>
      <c r="F20" s="5">
        <v>953.97107400000004</v>
      </c>
      <c r="G20" s="5" t="s">
        <v>17</v>
      </c>
      <c r="H20" s="5" t="s">
        <v>17</v>
      </c>
      <c r="I20" s="5">
        <v>3120</v>
      </c>
      <c r="J20" s="5">
        <v>330</v>
      </c>
      <c r="K20" s="6">
        <v>18235</v>
      </c>
      <c r="L20" s="6">
        <v>3766.7461539999999</v>
      </c>
      <c r="M20" s="6">
        <v>3947.8780980000001</v>
      </c>
      <c r="N20" s="5">
        <v>18.193982999999999</v>
      </c>
      <c r="P20" s="9">
        <f t="shared" si="1"/>
        <v>2.028074941472565</v>
      </c>
    </row>
    <row r="21" spans="1:16" x14ac:dyDescent="0.25">
      <c r="A21" s="5">
        <v>15</v>
      </c>
      <c r="B21" s="5" t="s">
        <v>31</v>
      </c>
      <c r="C21" s="5" t="s">
        <v>16</v>
      </c>
      <c r="D21" s="6">
        <v>11709543</v>
      </c>
      <c r="E21" s="6">
        <v>8685205.8099169992</v>
      </c>
      <c r="F21" s="5">
        <v>969.338843</v>
      </c>
      <c r="G21" s="5" t="s">
        <v>17</v>
      </c>
      <c r="H21" s="5" t="s">
        <v>17</v>
      </c>
      <c r="I21" s="5">
        <v>3120</v>
      </c>
      <c r="J21" s="5">
        <v>305</v>
      </c>
      <c r="K21" s="6">
        <v>18435</v>
      </c>
      <c r="L21" s="6">
        <v>3753.0586539999999</v>
      </c>
      <c r="M21" s="6">
        <v>4033.7397679999999</v>
      </c>
      <c r="N21" s="5">
        <v>18.193982999999999</v>
      </c>
      <c r="P21" s="9">
        <f t="shared" si="1"/>
        <v>2.0071254305835349</v>
      </c>
    </row>
    <row r="22" spans="1:16" x14ac:dyDescent="0.25">
      <c r="A22" s="5">
        <v>16</v>
      </c>
      <c r="B22" s="5" t="s">
        <v>32</v>
      </c>
      <c r="C22" s="5" t="s">
        <v>16</v>
      </c>
      <c r="D22" s="6">
        <v>12692001</v>
      </c>
      <c r="E22" s="6">
        <v>8796526.2892560009</v>
      </c>
      <c r="F22" s="6">
        <v>1248.549587</v>
      </c>
      <c r="G22" s="5" t="s">
        <v>17</v>
      </c>
      <c r="H22" s="5" t="s">
        <v>17</v>
      </c>
      <c r="I22" s="5">
        <v>3120</v>
      </c>
      <c r="J22" s="5">
        <v>428</v>
      </c>
      <c r="K22" s="6">
        <v>19200</v>
      </c>
      <c r="L22" s="6">
        <v>4067.9490380000002</v>
      </c>
      <c r="M22" s="6">
        <v>3973.2556330000002</v>
      </c>
      <c r="N22" s="5">
        <v>18.193982999999999</v>
      </c>
      <c r="P22" s="9">
        <f t="shared" si="1"/>
        <v>2.0328512648258203</v>
      </c>
    </row>
    <row r="23" spans="1:16" x14ac:dyDescent="0.25">
      <c r="A23" s="5">
        <v>17</v>
      </c>
      <c r="B23" s="5" t="s">
        <v>35</v>
      </c>
      <c r="C23" s="5" t="s">
        <v>16</v>
      </c>
      <c r="D23" s="6">
        <v>7260752</v>
      </c>
      <c r="E23" s="6">
        <v>4991557.9504129998</v>
      </c>
      <c r="F23" s="5">
        <v>727.30578500000001</v>
      </c>
      <c r="G23" s="5" t="s">
        <v>17</v>
      </c>
      <c r="H23" s="5" t="s">
        <v>17</v>
      </c>
      <c r="I23" s="5">
        <v>3120</v>
      </c>
      <c r="J23" s="5">
        <v>312</v>
      </c>
      <c r="K23" s="6">
        <v>8053</v>
      </c>
      <c r="L23" s="6">
        <v>2327.1641030000001</v>
      </c>
      <c r="M23" s="6">
        <v>1869.854934</v>
      </c>
      <c r="N23" s="5">
        <v>18.193982999999999</v>
      </c>
      <c r="P23">
        <f>E23/4991557.950413</f>
        <v>1</v>
      </c>
    </row>
    <row r="24" spans="1:16" x14ac:dyDescent="0.25">
      <c r="A24" s="5">
        <v>18</v>
      </c>
      <c r="B24" s="5" t="s">
        <v>36</v>
      </c>
      <c r="C24" s="5" t="s">
        <v>16</v>
      </c>
      <c r="D24" s="6">
        <v>7119900</v>
      </c>
      <c r="E24" s="6">
        <v>4876039.8347110003</v>
      </c>
      <c r="F24" s="5">
        <v>719.18595000000005</v>
      </c>
      <c r="G24" s="5" t="s">
        <v>17</v>
      </c>
      <c r="H24" s="5" t="s">
        <v>17</v>
      </c>
      <c r="I24" s="5">
        <v>3120</v>
      </c>
      <c r="J24" s="5">
        <v>334</v>
      </c>
      <c r="K24" s="6">
        <v>8857</v>
      </c>
      <c r="L24" s="6">
        <v>2282.0192310000002</v>
      </c>
      <c r="M24" s="6">
        <v>2036.864609</v>
      </c>
      <c r="N24" s="5">
        <v>18.193982999999999</v>
      </c>
      <c r="P24" s="9">
        <f t="shared" ref="P24:P30" si="2">E24/4991557.950413</f>
        <v>0.9768573024996251</v>
      </c>
    </row>
    <row r="25" spans="1:16" x14ac:dyDescent="0.25">
      <c r="A25" s="5">
        <v>19</v>
      </c>
      <c r="B25" s="5" t="s">
        <v>37</v>
      </c>
      <c r="C25" s="5" t="s">
        <v>16</v>
      </c>
      <c r="D25" s="6">
        <v>6604412</v>
      </c>
      <c r="E25" s="6">
        <v>4509718.7768599996</v>
      </c>
      <c r="F25" s="5">
        <v>671.37603300000001</v>
      </c>
      <c r="G25" s="5" t="s">
        <v>17</v>
      </c>
      <c r="H25" s="5" t="s">
        <v>17</v>
      </c>
      <c r="I25" s="5">
        <v>3120</v>
      </c>
      <c r="J25" s="5">
        <v>312</v>
      </c>
      <c r="K25" s="6">
        <v>7748</v>
      </c>
      <c r="L25" s="6">
        <v>2116.798718</v>
      </c>
      <c r="M25" s="6">
        <v>1737.477617</v>
      </c>
      <c r="N25" s="5">
        <v>18.193982999999999</v>
      </c>
      <c r="P25" s="9">
        <f t="shared" si="2"/>
        <v>0.90346918169844492</v>
      </c>
    </row>
    <row r="26" spans="1:16" x14ac:dyDescent="0.25">
      <c r="A26" s="5">
        <v>20</v>
      </c>
      <c r="B26" s="5" t="s">
        <v>38</v>
      </c>
      <c r="C26" s="5" t="s">
        <v>16</v>
      </c>
      <c r="D26" s="6">
        <v>7279234</v>
      </c>
      <c r="E26" s="6">
        <v>5118556.6446280004</v>
      </c>
      <c r="F26" s="5">
        <v>692.52479300000005</v>
      </c>
      <c r="G26" s="5" t="s">
        <v>17</v>
      </c>
      <c r="H26" s="5" t="s">
        <v>17</v>
      </c>
      <c r="I26" s="5">
        <v>3120</v>
      </c>
      <c r="J26" s="5">
        <v>334</v>
      </c>
      <c r="K26" s="6">
        <v>8649</v>
      </c>
      <c r="L26" s="6">
        <v>2333.0878210000001</v>
      </c>
      <c r="M26" s="6">
        <v>1997.7968470000001</v>
      </c>
      <c r="N26" s="5">
        <v>18.193982999999999</v>
      </c>
      <c r="P26" s="9">
        <f t="shared" si="2"/>
        <v>1.0254426965441708</v>
      </c>
    </row>
    <row r="27" spans="1:16" x14ac:dyDescent="0.25">
      <c r="A27" s="5">
        <v>21</v>
      </c>
      <c r="B27" s="5" t="s">
        <v>39</v>
      </c>
      <c r="C27" s="5" t="s">
        <v>16</v>
      </c>
      <c r="D27" s="6">
        <v>6919392</v>
      </c>
      <c r="E27" s="6">
        <v>4796077.289256</v>
      </c>
      <c r="F27" s="5">
        <v>680.54958699999997</v>
      </c>
      <c r="G27" s="5" t="s">
        <v>17</v>
      </c>
      <c r="H27" s="5" t="s">
        <v>17</v>
      </c>
      <c r="I27" s="5">
        <v>3120</v>
      </c>
      <c r="J27" s="5">
        <v>322</v>
      </c>
      <c r="K27" s="6">
        <v>8405</v>
      </c>
      <c r="L27" s="6">
        <v>2217.7538460000001</v>
      </c>
      <c r="M27" s="6">
        <v>1935.465725</v>
      </c>
      <c r="N27" s="5">
        <v>18.193982999999999</v>
      </c>
      <c r="P27" s="9">
        <f t="shared" si="2"/>
        <v>0.96083774583027215</v>
      </c>
    </row>
    <row r="28" spans="1:16" x14ac:dyDescent="0.25">
      <c r="A28" s="5">
        <v>22</v>
      </c>
      <c r="B28" s="5" t="s">
        <v>40</v>
      </c>
      <c r="C28" s="5" t="s">
        <v>16</v>
      </c>
      <c r="D28" s="6">
        <v>6923001</v>
      </c>
      <c r="E28" s="6">
        <v>4785130.5867769998</v>
      </c>
      <c r="F28" s="5">
        <v>685.214876</v>
      </c>
      <c r="G28" s="5" t="s">
        <v>17</v>
      </c>
      <c r="H28" s="5" t="s">
        <v>17</v>
      </c>
      <c r="I28" s="5">
        <v>3120</v>
      </c>
      <c r="J28" s="5">
        <v>305</v>
      </c>
      <c r="K28" s="6">
        <v>7903</v>
      </c>
      <c r="L28" s="6">
        <v>2218.9105770000001</v>
      </c>
      <c r="M28" s="6">
        <v>1860.912689</v>
      </c>
      <c r="N28" s="5">
        <v>18.193982999999999</v>
      </c>
      <c r="P28" s="9">
        <f t="shared" si="2"/>
        <v>0.95864470257849654</v>
      </c>
    </row>
    <row r="29" spans="1:16" x14ac:dyDescent="0.25">
      <c r="A29" s="5">
        <v>23</v>
      </c>
      <c r="B29" s="5" t="s">
        <v>41</v>
      </c>
      <c r="C29" s="5" t="s">
        <v>16</v>
      </c>
      <c r="D29" s="6">
        <v>6699001</v>
      </c>
      <c r="E29" s="6">
        <v>4568479.3471069997</v>
      </c>
      <c r="F29" s="5">
        <v>682.85950400000002</v>
      </c>
      <c r="G29" s="5" t="s">
        <v>17</v>
      </c>
      <c r="H29" s="5" t="s">
        <v>17</v>
      </c>
      <c r="I29" s="5">
        <v>3120</v>
      </c>
      <c r="J29" s="5">
        <v>285</v>
      </c>
      <c r="K29" s="6">
        <v>7573</v>
      </c>
      <c r="L29" s="6">
        <v>2147.1157050000002</v>
      </c>
      <c r="M29" s="6">
        <v>1802.991023</v>
      </c>
      <c r="N29" s="5">
        <v>18.193982999999999</v>
      </c>
      <c r="P29" s="9">
        <f t="shared" si="2"/>
        <v>0.91524117169249841</v>
      </c>
    </row>
    <row r="30" spans="1:16" x14ac:dyDescent="0.25">
      <c r="A30" s="5">
        <v>24</v>
      </c>
      <c r="B30" s="5" t="s">
        <v>42</v>
      </c>
      <c r="C30" s="5" t="s">
        <v>16</v>
      </c>
      <c r="D30" s="6">
        <v>6869836</v>
      </c>
      <c r="E30" s="6">
        <v>4686532.1983470004</v>
      </c>
      <c r="F30" s="5">
        <v>699.77686000000006</v>
      </c>
      <c r="G30" s="5" t="s">
        <v>17</v>
      </c>
      <c r="H30" s="5" t="s">
        <v>17</v>
      </c>
      <c r="I30" s="5">
        <v>3120</v>
      </c>
      <c r="J30" s="5">
        <v>276</v>
      </c>
      <c r="K30" s="6">
        <v>7821</v>
      </c>
      <c r="L30" s="6">
        <v>2201.8705129999998</v>
      </c>
      <c r="M30" s="6">
        <v>1897.7854219999999</v>
      </c>
      <c r="N30" s="5">
        <v>18.193982999999999</v>
      </c>
      <c r="P30" s="9">
        <f t="shared" si="2"/>
        <v>0.93889167368261006</v>
      </c>
    </row>
    <row r="31" spans="1:16" x14ac:dyDescent="0.25">
      <c r="A31" s="5">
        <v>25</v>
      </c>
      <c r="B31" s="5" t="s">
        <v>43</v>
      </c>
      <c r="C31" s="5" t="s">
        <v>16</v>
      </c>
      <c r="D31" s="6">
        <v>7643523</v>
      </c>
      <c r="E31" s="6">
        <v>4869520.6859499998</v>
      </c>
      <c r="F31" s="5">
        <v>889.10330599999998</v>
      </c>
      <c r="G31" s="5" t="s">
        <v>17</v>
      </c>
      <c r="H31" s="5" t="s">
        <v>17</v>
      </c>
      <c r="I31" s="5">
        <v>3120</v>
      </c>
      <c r="J31" s="5">
        <v>340</v>
      </c>
      <c r="K31" s="6">
        <v>10263</v>
      </c>
      <c r="L31" s="6">
        <v>2449.847115</v>
      </c>
      <c r="M31" s="6">
        <v>2188.2290760000001</v>
      </c>
      <c r="N31" s="5">
        <v>18.193982999999999</v>
      </c>
      <c r="P31">
        <f>E31/4869520.68595</f>
        <v>1</v>
      </c>
    </row>
    <row r="32" spans="1:16" x14ac:dyDescent="0.25">
      <c r="A32" s="5">
        <v>26</v>
      </c>
      <c r="B32" s="5" t="s">
        <v>44</v>
      </c>
      <c r="C32" s="5" t="s">
        <v>16</v>
      </c>
      <c r="D32" s="6">
        <v>6990655</v>
      </c>
      <c r="E32" s="6">
        <v>4479789.8760329997</v>
      </c>
      <c r="F32" s="5">
        <v>804.76446299999998</v>
      </c>
      <c r="G32" s="5" t="s">
        <v>17</v>
      </c>
      <c r="H32" s="5" t="s">
        <v>17</v>
      </c>
      <c r="I32" s="5">
        <v>3120</v>
      </c>
      <c r="J32" s="5">
        <v>284</v>
      </c>
      <c r="K32" s="6">
        <v>9472</v>
      </c>
      <c r="L32" s="6">
        <v>2240.5945510000001</v>
      </c>
      <c r="M32" s="6">
        <v>2036.662779</v>
      </c>
      <c r="N32" s="5">
        <v>18.193982999999999</v>
      </c>
      <c r="P32" s="9">
        <f t="shared" ref="P32:P38" si="3">E32/4869520.68595</f>
        <v>0.91996526248641097</v>
      </c>
    </row>
    <row r="33" spans="1:16" x14ac:dyDescent="0.25">
      <c r="A33" s="5">
        <v>27</v>
      </c>
      <c r="B33" s="5" t="s">
        <v>45</v>
      </c>
      <c r="C33" s="5" t="s">
        <v>16</v>
      </c>
      <c r="D33" s="6">
        <v>6599135</v>
      </c>
      <c r="E33" s="6">
        <v>4071161.446281</v>
      </c>
      <c r="F33" s="5">
        <v>810.24793399999999</v>
      </c>
      <c r="G33" s="5" t="s">
        <v>17</v>
      </c>
      <c r="H33" s="5" t="s">
        <v>17</v>
      </c>
      <c r="I33" s="5">
        <v>3120</v>
      </c>
      <c r="J33" s="5">
        <v>317</v>
      </c>
      <c r="K33" s="6">
        <v>8631</v>
      </c>
      <c r="L33" s="6">
        <v>2115.1073719999999</v>
      </c>
      <c r="M33" s="6">
        <v>1870.917541</v>
      </c>
      <c r="N33" s="5">
        <v>18.193982999999999</v>
      </c>
      <c r="P33" s="9">
        <f t="shared" si="3"/>
        <v>0.83604972826740398</v>
      </c>
    </row>
    <row r="34" spans="1:16" x14ac:dyDescent="0.25">
      <c r="A34" s="5">
        <v>28</v>
      </c>
      <c r="B34" s="5" t="s">
        <v>46</v>
      </c>
      <c r="C34" s="5" t="s">
        <v>16</v>
      </c>
      <c r="D34" s="6">
        <v>7074123</v>
      </c>
      <c r="E34" s="6">
        <v>4414671.0991740003</v>
      </c>
      <c r="F34" s="5">
        <v>852.38842999999997</v>
      </c>
      <c r="G34" s="5" t="s">
        <v>17</v>
      </c>
      <c r="H34" s="5" t="s">
        <v>17</v>
      </c>
      <c r="I34" s="5">
        <v>3120</v>
      </c>
      <c r="J34" s="5">
        <v>260</v>
      </c>
      <c r="K34" s="6">
        <v>10393</v>
      </c>
      <c r="L34" s="6">
        <v>2267.347115</v>
      </c>
      <c r="M34" s="6">
        <v>2259.850328</v>
      </c>
      <c r="N34" s="5">
        <v>18.193982999999999</v>
      </c>
      <c r="P34" s="9">
        <f t="shared" si="3"/>
        <v>0.90659253423270703</v>
      </c>
    </row>
    <row r="35" spans="1:16" x14ac:dyDescent="0.25">
      <c r="A35" s="5">
        <v>29</v>
      </c>
      <c r="B35" s="5" t="s">
        <v>47</v>
      </c>
      <c r="C35" s="5" t="s">
        <v>16</v>
      </c>
      <c r="D35" s="6">
        <v>6625607</v>
      </c>
      <c r="E35" s="6">
        <v>4212867.1652889997</v>
      </c>
      <c r="F35" s="5">
        <v>773.31404999999995</v>
      </c>
      <c r="G35" s="5" t="s">
        <v>17</v>
      </c>
      <c r="H35" s="5" t="s">
        <v>17</v>
      </c>
      <c r="I35" s="5">
        <v>3120</v>
      </c>
      <c r="J35" s="5">
        <v>269</v>
      </c>
      <c r="K35" s="6">
        <v>9574</v>
      </c>
      <c r="L35" s="6">
        <v>2123.5919869999998</v>
      </c>
      <c r="M35" s="6">
        <v>2058.8141139999998</v>
      </c>
      <c r="N35" s="5">
        <v>18.193982999999999</v>
      </c>
      <c r="P35" s="9">
        <f t="shared" si="3"/>
        <v>0.86515027596953453</v>
      </c>
    </row>
    <row r="36" spans="1:16" x14ac:dyDescent="0.25">
      <c r="A36" s="5">
        <v>30</v>
      </c>
      <c r="B36" s="5" t="s">
        <v>48</v>
      </c>
      <c r="C36" s="5" t="s">
        <v>16</v>
      </c>
      <c r="D36" s="6">
        <v>6738723</v>
      </c>
      <c r="E36" s="6">
        <v>4250432.7520660004</v>
      </c>
      <c r="F36" s="5">
        <v>797.52892599999996</v>
      </c>
      <c r="G36" s="5" t="s">
        <v>17</v>
      </c>
      <c r="H36" s="5" t="s">
        <v>17</v>
      </c>
      <c r="I36" s="5">
        <v>3120</v>
      </c>
      <c r="J36" s="5">
        <v>300</v>
      </c>
      <c r="K36" s="6">
        <v>8930</v>
      </c>
      <c r="L36" s="6">
        <v>2159.847115</v>
      </c>
      <c r="M36" s="6">
        <v>1961.472904</v>
      </c>
      <c r="N36" s="5">
        <v>18.193982999999999</v>
      </c>
      <c r="P36" s="9">
        <f t="shared" si="3"/>
        <v>0.87286470808713257</v>
      </c>
    </row>
    <row r="37" spans="1:16" x14ac:dyDescent="0.25">
      <c r="A37" s="5">
        <v>31</v>
      </c>
      <c r="B37" s="5" t="s">
        <v>49</v>
      </c>
      <c r="C37" s="5" t="s">
        <v>16</v>
      </c>
      <c r="D37" s="6">
        <v>6658116</v>
      </c>
      <c r="E37" s="6">
        <v>3906611.2066119998</v>
      </c>
      <c r="F37" s="5">
        <v>881.892562</v>
      </c>
      <c r="G37" s="5" t="s">
        <v>17</v>
      </c>
      <c r="H37" s="5" t="s">
        <v>17</v>
      </c>
      <c r="I37" s="5">
        <v>3120</v>
      </c>
      <c r="J37" s="5">
        <v>272</v>
      </c>
      <c r="K37" s="6">
        <v>8450</v>
      </c>
      <c r="L37" s="6">
        <v>2134.0115380000002</v>
      </c>
      <c r="M37" s="6">
        <v>1874.9496200000001</v>
      </c>
      <c r="N37" s="5">
        <v>18.193982999999999</v>
      </c>
      <c r="P37" s="9">
        <f t="shared" si="3"/>
        <v>0.80225785217089696</v>
      </c>
    </row>
    <row r="38" spans="1:16" x14ac:dyDescent="0.25">
      <c r="A38" s="5">
        <v>32</v>
      </c>
      <c r="B38" s="5" t="s">
        <v>50</v>
      </c>
      <c r="C38" s="5" t="s">
        <v>16</v>
      </c>
      <c r="D38" s="6">
        <v>7004617</v>
      </c>
      <c r="E38" s="6">
        <v>4035975.6776859998</v>
      </c>
      <c r="F38" s="5">
        <v>951.48760300000004</v>
      </c>
      <c r="G38" s="5" t="s">
        <v>17</v>
      </c>
      <c r="H38" s="5" t="s">
        <v>17</v>
      </c>
      <c r="I38" s="5">
        <v>3120</v>
      </c>
      <c r="J38" s="5">
        <v>267</v>
      </c>
      <c r="K38" s="6">
        <v>8752</v>
      </c>
      <c r="L38" s="6">
        <v>2245.069551</v>
      </c>
      <c r="M38" s="6">
        <v>1947.2372250000001</v>
      </c>
      <c r="N38" s="5">
        <v>18.193982999999999</v>
      </c>
      <c r="P38" s="9">
        <f t="shared" si="3"/>
        <v>0.82882401328142563</v>
      </c>
    </row>
    <row r="39" spans="1:16" x14ac:dyDescent="0.25">
      <c r="A39" s="5">
        <v>33</v>
      </c>
      <c r="B39" s="5" t="s">
        <v>54</v>
      </c>
      <c r="C39" s="5" t="s">
        <v>16</v>
      </c>
      <c r="D39" s="6">
        <v>6649271</v>
      </c>
      <c r="E39" s="6">
        <v>4397185.3801650004</v>
      </c>
      <c r="F39" s="5">
        <v>721.82231400000001</v>
      </c>
      <c r="G39" s="5" t="s">
        <v>17</v>
      </c>
      <c r="H39" s="5" t="s">
        <v>17</v>
      </c>
      <c r="I39" s="5">
        <v>3120</v>
      </c>
      <c r="J39" s="5">
        <v>349</v>
      </c>
      <c r="K39" s="6">
        <v>5659</v>
      </c>
      <c r="L39" s="6">
        <v>2131.1766029999999</v>
      </c>
      <c r="M39" s="6">
        <v>1468.041293</v>
      </c>
      <c r="N39" s="5">
        <v>18.193982999999999</v>
      </c>
      <c r="P39">
        <f>E39/4397185.380165</f>
        <v>1</v>
      </c>
    </row>
    <row r="40" spans="1:16" x14ac:dyDescent="0.25">
      <c r="A40" s="5">
        <v>34</v>
      </c>
      <c r="B40" s="5" t="s">
        <v>55</v>
      </c>
      <c r="C40" s="5" t="s">
        <v>16</v>
      </c>
      <c r="D40" s="6">
        <v>6238696</v>
      </c>
      <c r="E40" s="6">
        <v>4172959.471074</v>
      </c>
      <c r="F40" s="5">
        <v>662.09504100000004</v>
      </c>
      <c r="G40" s="5" t="s">
        <v>17</v>
      </c>
      <c r="H40" s="5" t="s">
        <v>17</v>
      </c>
      <c r="I40" s="5">
        <v>3120</v>
      </c>
      <c r="J40" s="5">
        <v>415</v>
      </c>
      <c r="K40" s="6">
        <v>5007</v>
      </c>
      <c r="L40" s="6">
        <v>1999.5820510000001</v>
      </c>
      <c r="M40" s="6">
        <v>1272.023623</v>
      </c>
      <c r="N40" s="5">
        <v>18.193982999999999</v>
      </c>
      <c r="P40" s="9">
        <f t="shared" ref="P40:P46" si="4">E40/4397185.380165</f>
        <v>0.94900694655666606</v>
      </c>
    </row>
    <row r="41" spans="1:16" x14ac:dyDescent="0.25">
      <c r="A41" s="5">
        <v>35</v>
      </c>
      <c r="B41" s="5" t="s">
        <v>56</v>
      </c>
      <c r="C41" s="5" t="s">
        <v>16</v>
      </c>
      <c r="D41" s="6">
        <v>5987872</v>
      </c>
      <c r="E41" s="6">
        <v>4006672</v>
      </c>
      <c r="F41" s="5">
        <v>635</v>
      </c>
      <c r="G41" s="5" t="s">
        <v>17</v>
      </c>
      <c r="H41" s="5" t="s">
        <v>17</v>
      </c>
      <c r="I41" s="5">
        <v>3120</v>
      </c>
      <c r="J41" s="5">
        <v>310</v>
      </c>
      <c r="K41" s="6">
        <v>5005</v>
      </c>
      <c r="L41" s="6">
        <v>1919.189744</v>
      </c>
      <c r="M41" s="6">
        <v>1266.7080900000001</v>
      </c>
      <c r="N41" s="5">
        <v>18.193982999999999</v>
      </c>
      <c r="P41" s="9">
        <f t="shared" si="4"/>
        <v>0.91119014860584591</v>
      </c>
    </row>
    <row r="42" spans="1:16" x14ac:dyDescent="0.25">
      <c r="A42" s="5">
        <v>36</v>
      </c>
      <c r="B42" s="5" t="s">
        <v>57</v>
      </c>
      <c r="C42" s="5" t="s">
        <v>16</v>
      </c>
      <c r="D42" s="6">
        <v>5715290</v>
      </c>
      <c r="E42" s="6">
        <v>3917383.553719</v>
      </c>
      <c r="F42" s="5">
        <v>576.25206600000001</v>
      </c>
      <c r="G42" s="5" t="s">
        <v>17</v>
      </c>
      <c r="H42" s="5" t="s">
        <v>17</v>
      </c>
      <c r="I42" s="5">
        <v>3120</v>
      </c>
      <c r="J42" s="5">
        <v>333</v>
      </c>
      <c r="K42" s="6">
        <v>4581</v>
      </c>
      <c r="L42" s="6">
        <v>1831.8237180000001</v>
      </c>
      <c r="M42" s="6">
        <v>1190.8904500000001</v>
      </c>
      <c r="N42" s="5">
        <v>18.193982999999999</v>
      </c>
      <c r="P42" s="9">
        <f t="shared" si="4"/>
        <v>0.89088433055146832</v>
      </c>
    </row>
    <row r="43" spans="1:16" x14ac:dyDescent="0.25">
      <c r="A43" s="5">
        <v>37</v>
      </c>
      <c r="B43" s="5" t="s">
        <v>58</v>
      </c>
      <c r="C43" s="5" t="s">
        <v>16</v>
      </c>
      <c r="D43" s="6">
        <v>4838090</v>
      </c>
      <c r="E43" s="6">
        <v>2975011.6528929998</v>
      </c>
      <c r="F43" s="5">
        <v>597.14049599999998</v>
      </c>
      <c r="G43" s="5" t="s">
        <v>17</v>
      </c>
      <c r="H43" s="5" t="s">
        <v>17</v>
      </c>
      <c r="I43" s="5">
        <v>3120</v>
      </c>
      <c r="J43" s="5">
        <v>315</v>
      </c>
      <c r="K43" s="6">
        <v>3644</v>
      </c>
      <c r="L43" s="6">
        <v>1550.6698719999999</v>
      </c>
      <c r="M43" s="5">
        <v>924.94252100000006</v>
      </c>
      <c r="N43" s="5">
        <v>18.193982999999999</v>
      </c>
      <c r="P43" s="9">
        <f t="shared" si="4"/>
        <v>0.67657180575392639</v>
      </c>
    </row>
    <row r="44" spans="1:16" x14ac:dyDescent="0.25">
      <c r="A44" s="5">
        <v>38</v>
      </c>
      <c r="B44" s="5" t="s">
        <v>59</v>
      </c>
      <c r="C44" s="5" t="s">
        <v>16</v>
      </c>
      <c r="D44" s="6">
        <v>3402538</v>
      </c>
      <c r="E44" s="6">
        <v>1678918.495868</v>
      </c>
      <c r="F44" s="5">
        <v>552.44214899999997</v>
      </c>
      <c r="G44" s="5" t="s">
        <v>17</v>
      </c>
      <c r="H44" s="5" t="s">
        <v>17</v>
      </c>
      <c r="I44" s="5">
        <v>3120</v>
      </c>
      <c r="J44" s="5">
        <v>354</v>
      </c>
      <c r="K44" s="6">
        <v>2423</v>
      </c>
      <c r="L44" s="6">
        <v>1090.557051</v>
      </c>
      <c r="M44" s="5">
        <v>545.66067599999997</v>
      </c>
      <c r="N44" s="5">
        <v>18.193982999999999</v>
      </c>
      <c r="P44" s="9">
        <f t="shared" si="4"/>
        <v>0.38181662830076091</v>
      </c>
    </row>
    <row r="45" spans="1:16" x14ac:dyDescent="0.25">
      <c r="A45" s="5">
        <v>39</v>
      </c>
      <c r="B45" s="5" t="s">
        <v>60</v>
      </c>
      <c r="C45" s="5" t="s">
        <v>16</v>
      </c>
      <c r="D45" s="6">
        <v>2143439</v>
      </c>
      <c r="E45" s="6">
        <v>871149.41322300001</v>
      </c>
      <c r="F45" s="5">
        <v>407.785124</v>
      </c>
      <c r="G45" s="5" t="s">
        <v>17</v>
      </c>
      <c r="H45" s="5" t="s">
        <v>17</v>
      </c>
      <c r="I45" s="5">
        <v>3120</v>
      </c>
      <c r="J45" s="5">
        <v>282</v>
      </c>
      <c r="K45" s="6">
        <v>1333</v>
      </c>
      <c r="L45" s="5">
        <v>686.99967900000001</v>
      </c>
      <c r="M45" s="5">
        <v>264.29759100000001</v>
      </c>
      <c r="N45" s="5">
        <v>18.193982999999999</v>
      </c>
      <c r="P45" s="9">
        <f t="shared" si="4"/>
        <v>0.19811523461180772</v>
      </c>
    </row>
    <row r="46" spans="1:16" x14ac:dyDescent="0.25">
      <c r="A46" s="5">
        <v>40</v>
      </c>
      <c r="B46" s="5" t="s">
        <v>61</v>
      </c>
      <c r="C46" s="5" t="s">
        <v>16</v>
      </c>
      <c r="D46" s="6">
        <v>1526689</v>
      </c>
      <c r="E46" s="6">
        <v>160373.958678</v>
      </c>
      <c r="F46" s="5">
        <v>437.92148800000001</v>
      </c>
      <c r="G46" s="5" t="s">
        <v>17</v>
      </c>
      <c r="H46" s="5" t="s">
        <v>17</v>
      </c>
      <c r="I46" s="5">
        <v>3120</v>
      </c>
      <c r="J46" s="5">
        <v>331</v>
      </c>
      <c r="K46" s="5">
        <v>707</v>
      </c>
      <c r="L46" s="5">
        <v>489.323397</v>
      </c>
      <c r="M46" s="5">
        <v>77.739821000000006</v>
      </c>
      <c r="N46" s="5">
        <v>18.193982999999999</v>
      </c>
      <c r="P46" s="9">
        <f t="shared" si="4"/>
        <v>3.6471957584827165E-2</v>
      </c>
    </row>
    <row r="47" spans="1:16" x14ac:dyDescent="0.25">
      <c r="A47" s="5">
        <v>41</v>
      </c>
      <c r="B47" s="5" t="s">
        <v>62</v>
      </c>
      <c r="C47" s="5" t="s">
        <v>16</v>
      </c>
      <c r="D47" s="6">
        <v>7285290</v>
      </c>
      <c r="E47" s="6">
        <v>4278705.8677690001</v>
      </c>
      <c r="F47" s="5">
        <v>963.64876000000004</v>
      </c>
      <c r="G47" s="5" t="s">
        <v>17</v>
      </c>
      <c r="H47" s="5" t="s">
        <v>17</v>
      </c>
      <c r="I47" s="5">
        <v>3120</v>
      </c>
      <c r="J47" s="5">
        <v>553</v>
      </c>
      <c r="K47" s="6">
        <v>7114</v>
      </c>
      <c r="L47" s="6">
        <v>2335.0288460000002</v>
      </c>
      <c r="M47" s="6">
        <v>1768.124558</v>
      </c>
      <c r="N47" s="5">
        <v>18.193982999999999</v>
      </c>
      <c r="P47" s="9">
        <f>E47/4278705.867769</f>
        <v>1</v>
      </c>
    </row>
    <row r="48" spans="1:16" x14ac:dyDescent="0.25">
      <c r="A48" s="5">
        <v>42</v>
      </c>
      <c r="B48" s="5" t="s">
        <v>63</v>
      </c>
      <c r="C48" s="5" t="s">
        <v>16</v>
      </c>
      <c r="D48" s="6">
        <v>7329428</v>
      </c>
      <c r="E48" s="6">
        <v>4185525.1900829999</v>
      </c>
      <c r="F48" s="6">
        <v>1007.661157</v>
      </c>
      <c r="G48" s="5" t="s">
        <v>17</v>
      </c>
      <c r="H48" s="5" t="s">
        <v>17</v>
      </c>
      <c r="I48" s="5">
        <v>3120</v>
      </c>
      <c r="J48" s="5">
        <v>493</v>
      </c>
      <c r="K48" s="6">
        <v>6858</v>
      </c>
      <c r="L48" s="6">
        <v>2349.1756409999998</v>
      </c>
      <c r="M48" s="6">
        <v>1761.819497</v>
      </c>
      <c r="N48" s="5">
        <v>18.193982999999999</v>
      </c>
      <c r="P48" s="9">
        <f t="shared" ref="P48:P54" si="5">E48/4278705.867769</f>
        <v>0.97822222873791831</v>
      </c>
    </row>
    <row r="49" spans="1:16" x14ac:dyDescent="0.25">
      <c r="A49" s="5">
        <v>43</v>
      </c>
      <c r="B49" s="5" t="s">
        <v>64</v>
      </c>
      <c r="C49" s="5" t="s">
        <v>16</v>
      </c>
      <c r="D49" s="6">
        <v>7914996</v>
      </c>
      <c r="E49" s="6">
        <v>4915709.0578509998</v>
      </c>
      <c r="F49" s="5">
        <v>961.30991700000004</v>
      </c>
      <c r="G49" s="5" t="s">
        <v>17</v>
      </c>
      <c r="H49" s="5" t="s">
        <v>17</v>
      </c>
      <c r="I49" s="5">
        <v>3120</v>
      </c>
      <c r="J49" s="5">
        <v>473</v>
      </c>
      <c r="K49" s="6">
        <v>7851</v>
      </c>
      <c r="L49" s="6">
        <v>2536.857692</v>
      </c>
      <c r="M49" s="6">
        <v>1969.0272299999999</v>
      </c>
      <c r="N49" s="5">
        <v>18.193982999999999</v>
      </c>
      <c r="P49" s="9">
        <f t="shared" si="5"/>
        <v>1.1488775367525195</v>
      </c>
    </row>
    <row r="50" spans="1:16" x14ac:dyDescent="0.25">
      <c r="A50" s="5">
        <v>44</v>
      </c>
      <c r="B50" s="5" t="s">
        <v>65</v>
      </c>
      <c r="C50" s="5" t="s">
        <v>16</v>
      </c>
      <c r="D50" s="6">
        <v>8153939</v>
      </c>
      <c r="E50" s="6">
        <v>4866658.0082639996</v>
      </c>
      <c r="F50" s="6">
        <v>1053.6157020000001</v>
      </c>
      <c r="G50" s="5" t="s">
        <v>17</v>
      </c>
      <c r="H50" s="5" t="s">
        <v>17</v>
      </c>
      <c r="I50" s="5">
        <v>3120</v>
      </c>
      <c r="J50" s="5">
        <v>398</v>
      </c>
      <c r="K50" s="6">
        <v>7931</v>
      </c>
      <c r="L50" s="6">
        <v>2613.4419870000002</v>
      </c>
      <c r="M50" s="6">
        <v>2067.5120120000001</v>
      </c>
      <c r="N50" s="5">
        <v>18.193982999999999</v>
      </c>
      <c r="P50" s="9">
        <f t="shared" si="5"/>
        <v>1.1374135448112888</v>
      </c>
    </row>
    <row r="51" spans="1:16" x14ac:dyDescent="0.25">
      <c r="A51" s="5">
        <v>45</v>
      </c>
      <c r="B51" s="5" t="s">
        <v>66</v>
      </c>
      <c r="C51" s="5" t="s">
        <v>16</v>
      </c>
      <c r="D51" s="6">
        <v>8226362</v>
      </c>
      <c r="E51" s="6">
        <v>4684762.3305789996</v>
      </c>
      <c r="F51" s="6">
        <v>1135.128099</v>
      </c>
      <c r="G51" s="5" t="s">
        <v>17</v>
      </c>
      <c r="H51" s="5" t="s">
        <v>17</v>
      </c>
      <c r="I51" s="5">
        <v>3120</v>
      </c>
      <c r="J51" s="5">
        <v>680</v>
      </c>
      <c r="K51" s="6">
        <v>7827</v>
      </c>
      <c r="L51" s="6">
        <v>2636.6544869999998</v>
      </c>
      <c r="M51" s="6">
        <v>2006.007104</v>
      </c>
      <c r="N51" s="5">
        <v>18.193982999999999</v>
      </c>
      <c r="P51" s="9">
        <f t="shared" si="5"/>
        <v>1.0949017005045325</v>
      </c>
    </row>
    <row r="52" spans="1:16" x14ac:dyDescent="0.25">
      <c r="A52" s="5">
        <v>46</v>
      </c>
      <c r="B52" s="5" t="s">
        <v>67</v>
      </c>
      <c r="C52" s="5" t="s">
        <v>16</v>
      </c>
      <c r="D52" s="6">
        <v>9530097</v>
      </c>
      <c r="E52" s="6">
        <v>5087281.4628100004</v>
      </c>
      <c r="F52" s="6">
        <v>1423.979339</v>
      </c>
      <c r="G52" s="5" t="s">
        <v>17</v>
      </c>
      <c r="H52" s="5" t="s">
        <v>17</v>
      </c>
      <c r="I52" s="5">
        <v>3120</v>
      </c>
      <c r="J52" s="5">
        <v>823</v>
      </c>
      <c r="K52" s="6">
        <v>9226</v>
      </c>
      <c r="L52" s="6">
        <v>3054.5182690000001</v>
      </c>
      <c r="M52" s="6">
        <v>2428.7286089999998</v>
      </c>
      <c r="N52" s="5">
        <v>18.193982999999999</v>
      </c>
      <c r="P52" s="9">
        <f t="shared" si="5"/>
        <v>1.1889766719259456</v>
      </c>
    </row>
    <row r="53" spans="1:16" x14ac:dyDescent="0.25">
      <c r="A53" s="5">
        <v>47</v>
      </c>
      <c r="B53" s="5" t="s">
        <v>68</v>
      </c>
      <c r="C53" s="5" t="s">
        <v>16</v>
      </c>
      <c r="D53" s="6">
        <v>9639029</v>
      </c>
      <c r="E53" s="6">
        <v>5913400.9008259997</v>
      </c>
      <c r="F53" s="6">
        <v>1194.11157</v>
      </c>
      <c r="G53" s="5" t="s">
        <v>17</v>
      </c>
      <c r="H53" s="5" t="s">
        <v>17</v>
      </c>
      <c r="I53" s="5">
        <v>3120</v>
      </c>
      <c r="J53" s="5">
        <v>396</v>
      </c>
      <c r="K53" s="6">
        <v>10018</v>
      </c>
      <c r="L53" s="6">
        <v>3089.4323720000002</v>
      </c>
      <c r="M53" s="6">
        <v>2694.5756179999998</v>
      </c>
      <c r="N53" s="5">
        <v>18.193982999999999</v>
      </c>
      <c r="P53" s="9">
        <f t="shared" si="5"/>
        <v>1.3820536123716682</v>
      </c>
    </row>
    <row r="54" spans="1:16" x14ac:dyDescent="0.25">
      <c r="A54" s="5">
        <v>48</v>
      </c>
      <c r="B54" s="5" t="s">
        <v>69</v>
      </c>
      <c r="C54" s="5" t="s">
        <v>16</v>
      </c>
      <c r="D54" s="6">
        <v>11966826</v>
      </c>
      <c r="E54" s="6">
        <v>6330829.6363639999</v>
      </c>
      <c r="F54" s="6">
        <v>1806.409091</v>
      </c>
      <c r="G54" s="5" t="s">
        <v>17</v>
      </c>
      <c r="H54" s="5" t="s">
        <v>17</v>
      </c>
      <c r="I54" s="5">
        <v>3120</v>
      </c>
      <c r="J54" s="5">
        <v>793</v>
      </c>
      <c r="K54" s="6">
        <v>12088</v>
      </c>
      <c r="L54" s="6">
        <v>3835.521154</v>
      </c>
      <c r="M54" s="6">
        <v>3313.699603</v>
      </c>
      <c r="N54" s="5">
        <v>18.193982999999999</v>
      </c>
      <c r="P54" s="9">
        <f t="shared" si="5"/>
        <v>1.4796131895986149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3"/>
  <sheetViews>
    <sheetView topLeftCell="A10" workbookViewId="0">
      <selection activeCell="H29" sqref="H29:K53"/>
    </sheetView>
  </sheetViews>
  <sheetFormatPr defaultRowHeight="15" x14ac:dyDescent="0.25"/>
  <cols>
    <col min="3" max="3" width="15.7109375" customWidth="1"/>
    <col min="4" max="4" width="17.42578125" customWidth="1"/>
    <col min="5" max="5" width="13" customWidth="1"/>
    <col min="6" max="6" width="14.7109375" customWidth="1"/>
    <col min="7" max="7" width="16.85546875" customWidth="1"/>
    <col min="8" max="8" width="14.5703125" customWidth="1"/>
    <col min="9" max="10" width="14.7109375" customWidth="1"/>
    <col min="11" max="11" width="15.42578125" customWidth="1"/>
  </cols>
  <sheetData>
    <row r="1" spans="2:11" x14ac:dyDescent="0.25">
      <c r="B1" s="2" t="s">
        <v>84</v>
      </c>
    </row>
    <row r="3" spans="2:11" x14ac:dyDescent="0.25">
      <c r="B3" s="9" t="s">
        <v>74</v>
      </c>
      <c r="C3" s="9" t="s">
        <v>75</v>
      </c>
      <c r="D3" s="9" t="s">
        <v>76</v>
      </c>
      <c r="E3" s="9" t="s">
        <v>77</v>
      </c>
      <c r="F3" s="9" t="s">
        <v>78</v>
      </c>
      <c r="G3" s="9" t="s">
        <v>79</v>
      </c>
      <c r="H3" s="9" t="s">
        <v>80</v>
      </c>
      <c r="I3" s="9" t="s">
        <v>81</v>
      </c>
      <c r="J3" s="9" t="s">
        <v>82</v>
      </c>
      <c r="K3" s="9" t="s">
        <v>83</v>
      </c>
    </row>
    <row r="4" spans="2:11" x14ac:dyDescent="0.25">
      <c r="B4" s="9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</row>
    <row r="5" spans="2:11" x14ac:dyDescent="0.25">
      <c r="B5" s="9">
        <v>1</v>
      </c>
      <c r="C5">
        <v>0.70082599519734101</v>
      </c>
      <c r="D5">
        <v>0.70393778799284312</v>
      </c>
      <c r="E5">
        <v>0.83925246568330569</v>
      </c>
      <c r="F5">
        <v>1.0077129774823255</v>
      </c>
      <c r="G5">
        <v>1.2177104798660874</v>
      </c>
      <c r="H5">
        <v>0.9768573024996251</v>
      </c>
      <c r="I5">
        <v>0.82712644907327759</v>
      </c>
      <c r="J5">
        <v>0.94129641793830765</v>
      </c>
      <c r="K5">
        <v>0.94900694655666606</v>
      </c>
    </row>
    <row r="6" spans="2:11" x14ac:dyDescent="0.25">
      <c r="B6" s="9">
        <v>3</v>
      </c>
      <c r="C6">
        <v>0.43895616815885258</v>
      </c>
      <c r="D6">
        <v>0.39950239902784818</v>
      </c>
      <c r="E6">
        <v>0.46786575806684294</v>
      </c>
      <c r="F6">
        <v>1.0268588725496768</v>
      </c>
      <c r="G6">
        <v>1.1514715074216826</v>
      </c>
      <c r="H6">
        <v>0.90346918169844492</v>
      </c>
      <c r="I6">
        <v>0.84136295834954233</v>
      </c>
      <c r="J6">
        <v>0.78711474634305911</v>
      </c>
      <c r="K6">
        <v>0.91119014860584591</v>
      </c>
    </row>
    <row r="7" spans="2:11" x14ac:dyDescent="0.25">
      <c r="B7" s="9">
        <v>5</v>
      </c>
      <c r="C7">
        <v>0.30563594513483378</v>
      </c>
      <c r="D7">
        <v>0.21040115471312515</v>
      </c>
      <c r="E7">
        <v>0.31772938863139449</v>
      </c>
      <c r="F7">
        <v>1.0756953389242232</v>
      </c>
      <c r="G7">
        <v>1.1143208532605555</v>
      </c>
      <c r="H7">
        <v>1.0254426965441708</v>
      </c>
      <c r="I7">
        <v>0.75987798016668096</v>
      </c>
      <c r="J7">
        <v>0.8314298250564095</v>
      </c>
      <c r="K7">
        <v>0.89088433055146832</v>
      </c>
    </row>
    <row r="8" spans="2:11" x14ac:dyDescent="0.25">
      <c r="B8" s="9">
        <v>10</v>
      </c>
      <c r="C8">
        <v>0.20978345677460883</v>
      </c>
      <c r="D8">
        <v>0.1040067898819487</v>
      </c>
      <c r="E8">
        <v>0.14590945924494847</v>
      </c>
      <c r="F8">
        <v>1.1377866254487601</v>
      </c>
      <c r="G8">
        <v>1.1318011651236362</v>
      </c>
      <c r="H8">
        <v>0.96083774583027215</v>
      </c>
      <c r="I8">
        <v>0.59729110065661062</v>
      </c>
      <c r="J8">
        <v>0.58740367615657796</v>
      </c>
      <c r="K8">
        <v>0.67657180575392639</v>
      </c>
    </row>
    <row r="9" spans="2:11" x14ac:dyDescent="0.25">
      <c r="B9" s="9">
        <v>30</v>
      </c>
      <c r="C9">
        <v>9.2125348867135595E-2</v>
      </c>
      <c r="D9">
        <v>3.2029696647700487E-2</v>
      </c>
      <c r="E9">
        <v>2.8369502349334812E-2</v>
      </c>
      <c r="F9">
        <v>1.1731947194150265</v>
      </c>
      <c r="G9">
        <v>1.1257378634640829</v>
      </c>
      <c r="H9">
        <v>0.95864470257849654</v>
      </c>
      <c r="I9">
        <v>0.37809663227187379</v>
      </c>
      <c r="J9">
        <v>0.37868280078909816</v>
      </c>
      <c r="K9">
        <v>0.38181662830076091</v>
      </c>
    </row>
    <row r="10" spans="2:11" x14ac:dyDescent="0.25">
      <c r="B10" s="9">
        <v>60</v>
      </c>
      <c r="C10">
        <v>6.4554076844347233E-2</v>
      </c>
      <c r="D10">
        <v>3.26763260879483E-2</v>
      </c>
      <c r="E10">
        <v>2.4280125180574427E-2</v>
      </c>
      <c r="F10">
        <v>1.1424212764932851</v>
      </c>
      <c r="G10">
        <v>1.1088749268626328</v>
      </c>
      <c r="H10">
        <v>0.91524117169249841</v>
      </c>
      <c r="I10">
        <v>0.23622627185500852</v>
      </c>
      <c r="J10">
        <v>0.26712590888336601</v>
      </c>
      <c r="K10">
        <v>0.19811523461180772</v>
      </c>
    </row>
    <row r="11" spans="2:11" x14ac:dyDescent="0.25">
      <c r="B11" s="9">
        <v>120</v>
      </c>
      <c r="C11">
        <v>6.4303029402009437E-2</v>
      </c>
      <c r="D11">
        <v>3.248524722461741E-2</v>
      </c>
      <c r="E11">
        <v>2.5565413013374297E-2</v>
      </c>
      <c r="F11">
        <v>1.3228752659092538</v>
      </c>
      <c r="G11">
        <v>1.1034679321076653</v>
      </c>
      <c r="H11">
        <v>0.93889167368261006</v>
      </c>
      <c r="I11">
        <v>9.5408635781929846E-2</v>
      </c>
      <c r="J11">
        <v>6.7118629058217763E-2</v>
      </c>
      <c r="K11">
        <v>3.6471957584827165E-2</v>
      </c>
    </row>
    <row r="14" spans="2:11" x14ac:dyDescent="0.25">
      <c r="B14" s="2" t="s">
        <v>85</v>
      </c>
    </row>
    <row r="16" spans="2:11" x14ac:dyDescent="0.25">
      <c r="B16" s="9" t="s">
        <v>74</v>
      </c>
      <c r="C16" s="9" t="s">
        <v>75</v>
      </c>
      <c r="D16" s="9" t="s">
        <v>76</v>
      </c>
      <c r="E16" s="9" t="s">
        <v>77</v>
      </c>
      <c r="F16" s="9" t="s">
        <v>78</v>
      </c>
      <c r="G16" s="9" t="s">
        <v>79</v>
      </c>
      <c r="H16" s="9" t="s">
        <v>80</v>
      </c>
      <c r="I16" s="9" t="s">
        <v>81</v>
      </c>
      <c r="J16" s="9" t="s">
        <v>82</v>
      </c>
      <c r="K16" s="9" t="s">
        <v>83</v>
      </c>
    </row>
    <row r="17" spans="2:11" x14ac:dyDescent="0.25">
      <c r="B17" s="9">
        <v>0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2:11" x14ac:dyDescent="0.25">
      <c r="B18" s="9">
        <v>1</v>
      </c>
      <c r="C18">
        <v>1.1479332919355714</v>
      </c>
      <c r="D18">
        <v>1.17300187067086</v>
      </c>
      <c r="E18">
        <v>1.4778452616598567</v>
      </c>
      <c r="F18">
        <v>1.3194159446499027</v>
      </c>
      <c r="G18">
        <v>1.2730384900810607</v>
      </c>
      <c r="H18">
        <v>0.91996526248641097</v>
      </c>
      <c r="I18">
        <v>0.87270361650709838</v>
      </c>
      <c r="J18">
        <v>1.000697005119543</v>
      </c>
      <c r="K18">
        <v>0.97822222873791831</v>
      </c>
    </row>
    <row r="19" spans="2:11" x14ac:dyDescent="0.25">
      <c r="B19" s="9">
        <v>3</v>
      </c>
      <c r="C19">
        <v>1.1543052674676733</v>
      </c>
      <c r="D19">
        <v>1.5052270582320382</v>
      </c>
      <c r="E19">
        <v>1.626324748791524</v>
      </c>
      <c r="F19">
        <v>1.3996914908672731</v>
      </c>
      <c r="G19">
        <v>1.1291399499802406</v>
      </c>
      <c r="H19">
        <v>0.83604972826740398</v>
      </c>
      <c r="I19">
        <v>0.96718704227329599</v>
      </c>
      <c r="J19">
        <v>1.0082409767959453</v>
      </c>
      <c r="K19">
        <v>1.1488775367525195</v>
      </c>
    </row>
    <row r="20" spans="2:11" x14ac:dyDescent="0.25">
      <c r="B20" s="9">
        <v>5</v>
      </c>
      <c r="C20">
        <v>1.3008648894719337</v>
      </c>
      <c r="D20">
        <v>1.4177489053506585</v>
      </c>
      <c r="E20">
        <v>1.8515785621549621</v>
      </c>
      <c r="F20">
        <v>1.4119504986880898</v>
      </c>
      <c r="G20">
        <v>1.0969259401342251</v>
      </c>
      <c r="H20">
        <v>0.90659253423270703</v>
      </c>
      <c r="I20">
        <v>0.98547253855114259</v>
      </c>
      <c r="J20">
        <v>1.1361660704465766</v>
      </c>
      <c r="K20">
        <v>1.1374135448112888</v>
      </c>
    </row>
    <row r="21" spans="2:11" x14ac:dyDescent="0.25">
      <c r="B21" s="9">
        <v>10</v>
      </c>
      <c r="C21">
        <v>1.6609875561931586</v>
      </c>
      <c r="D21">
        <v>1.6653405089008273</v>
      </c>
      <c r="E21">
        <v>2.0176880363297998</v>
      </c>
      <c r="F21">
        <v>1.5707743543856669</v>
      </c>
      <c r="G21">
        <v>1.1038032961305493</v>
      </c>
      <c r="H21">
        <v>0.86515027596953453</v>
      </c>
      <c r="I21">
        <v>0.92731966526305976</v>
      </c>
      <c r="J21">
        <v>1.0775552428720725</v>
      </c>
      <c r="K21">
        <v>1.0949017005045325</v>
      </c>
    </row>
    <row r="22" spans="2:11" x14ac:dyDescent="0.25">
      <c r="B22" s="9">
        <v>30</v>
      </c>
      <c r="C22">
        <v>1.642491928023879</v>
      </c>
      <c r="D22">
        <v>1.6516048275391098</v>
      </c>
      <c r="E22">
        <v>2.028074941472565</v>
      </c>
      <c r="F22">
        <v>1.7195468119051633</v>
      </c>
      <c r="G22">
        <v>1.0933124550049933</v>
      </c>
      <c r="H22">
        <v>0.87286470808713257</v>
      </c>
      <c r="I22">
        <v>1.0771690480061045</v>
      </c>
      <c r="J22">
        <v>1.4481784089737038</v>
      </c>
      <c r="K22">
        <v>1.1889766719259456</v>
      </c>
    </row>
    <row r="23" spans="2:11" x14ac:dyDescent="0.25">
      <c r="B23" s="9">
        <v>60</v>
      </c>
      <c r="C23">
        <v>1.6554459624367597</v>
      </c>
      <c r="D23">
        <v>1.9809818032019857</v>
      </c>
      <c r="E23">
        <v>2.0071254305835349</v>
      </c>
      <c r="F23">
        <v>1.7827815054525555</v>
      </c>
      <c r="G23">
        <v>1.0077029301332128</v>
      </c>
      <c r="H23">
        <v>0.80225785217089696</v>
      </c>
      <c r="I23">
        <v>1.5785913847423507</v>
      </c>
      <c r="J23">
        <v>1.6452119855199931</v>
      </c>
      <c r="K23">
        <v>1.3820536123716682</v>
      </c>
    </row>
    <row r="24" spans="2:11" x14ac:dyDescent="0.25">
      <c r="B24" s="9">
        <v>120</v>
      </c>
      <c r="C24">
        <v>1.7279665078363273</v>
      </c>
      <c r="D24">
        <v>1.494585016331045</v>
      </c>
      <c r="E24">
        <v>2.0328512648258203</v>
      </c>
      <c r="F24">
        <v>1.127697135474683</v>
      </c>
      <c r="G24">
        <v>0.99040224868852755</v>
      </c>
      <c r="H24">
        <v>0.82882401328142563</v>
      </c>
      <c r="I24">
        <v>1.6879234178792639</v>
      </c>
      <c r="J24">
        <v>1.0774847348846996</v>
      </c>
      <c r="K24">
        <v>1.4796131895986149</v>
      </c>
    </row>
    <row r="27" spans="2:11" x14ac:dyDescent="0.25">
      <c r="B27" s="2" t="s">
        <v>87</v>
      </c>
      <c r="H27" s="2" t="s">
        <v>94</v>
      </c>
    </row>
    <row r="29" spans="2:11" x14ac:dyDescent="0.25">
      <c r="B29" s="2" t="s">
        <v>74</v>
      </c>
      <c r="C29" s="2" t="s">
        <v>88</v>
      </c>
      <c r="D29" s="2" t="s">
        <v>89</v>
      </c>
      <c r="E29" s="2" t="s">
        <v>90</v>
      </c>
      <c r="H29" s="2" t="s">
        <v>74</v>
      </c>
      <c r="I29" s="2" t="s">
        <v>88</v>
      </c>
      <c r="J29" s="2" t="s">
        <v>89</v>
      </c>
      <c r="K29" s="2" t="s">
        <v>90</v>
      </c>
    </row>
    <row r="30" spans="2:11" x14ac:dyDescent="0.25">
      <c r="B30" s="9">
        <v>0</v>
      </c>
      <c r="C30" t="s">
        <v>91</v>
      </c>
      <c r="D30">
        <f>AVERAGE(C4:E4)</f>
        <v>1</v>
      </c>
      <c r="E30">
        <f>_xlfn.STDEV.S(C4:E4)</f>
        <v>0</v>
      </c>
      <c r="H30" s="9">
        <v>0</v>
      </c>
      <c r="I30" s="9" t="s">
        <v>91</v>
      </c>
      <c r="J30">
        <f>AVERAGE(C17:E17)</f>
        <v>1</v>
      </c>
      <c r="K30">
        <f>_xlfn.STDEV.S(C17:E17)</f>
        <v>0</v>
      </c>
    </row>
    <row r="31" spans="2:11" x14ac:dyDescent="0.25">
      <c r="B31" s="9">
        <v>1</v>
      </c>
      <c r="C31" s="9" t="s">
        <v>91</v>
      </c>
      <c r="D31" s="9">
        <f t="shared" ref="D31:D37" si="0">AVERAGE(C5:E5)</f>
        <v>0.74800541629116335</v>
      </c>
      <c r="E31" s="9">
        <f t="shared" ref="E31:E37" si="1">_xlfn.STDEV.S(C5:E5)</f>
        <v>7.9037578598281921E-2</v>
      </c>
      <c r="H31" s="9">
        <v>1</v>
      </c>
      <c r="I31" s="9" t="s">
        <v>91</v>
      </c>
      <c r="J31" s="9">
        <f t="shared" ref="J31:J37" si="2">AVERAGE(C18:E18)</f>
        <v>1.266260141422096</v>
      </c>
      <c r="K31" s="9">
        <f t="shared" ref="K31:K37" si="3">_xlfn.STDEV.S(C18:E18)</f>
        <v>0.18366628906653557</v>
      </c>
    </row>
    <row r="32" spans="2:11" x14ac:dyDescent="0.25">
      <c r="B32" s="9">
        <v>3</v>
      </c>
      <c r="C32" s="9" t="s">
        <v>91</v>
      </c>
      <c r="D32" s="9">
        <f t="shared" si="0"/>
        <v>0.43544144175118121</v>
      </c>
      <c r="E32" s="9">
        <f t="shared" si="1"/>
        <v>3.4316937378854391E-2</v>
      </c>
      <c r="H32" s="9">
        <v>3</v>
      </c>
      <c r="I32" s="9" t="s">
        <v>91</v>
      </c>
      <c r="J32" s="9">
        <f t="shared" si="2"/>
        <v>1.4286190248304118</v>
      </c>
      <c r="K32" s="9">
        <f t="shared" si="3"/>
        <v>0.24515748157777584</v>
      </c>
    </row>
    <row r="33" spans="2:11" x14ac:dyDescent="0.25">
      <c r="B33" s="9">
        <v>5</v>
      </c>
      <c r="C33" s="9" t="s">
        <v>91</v>
      </c>
      <c r="D33" s="9">
        <f t="shared" si="0"/>
        <v>0.27792216282645116</v>
      </c>
      <c r="E33" s="9">
        <f t="shared" si="1"/>
        <v>5.8786714029455504E-2</v>
      </c>
      <c r="H33" s="9">
        <v>5</v>
      </c>
      <c r="I33" s="9" t="s">
        <v>91</v>
      </c>
      <c r="J33" s="9">
        <f t="shared" si="2"/>
        <v>1.5233974523258513</v>
      </c>
      <c r="K33" s="9">
        <f t="shared" si="3"/>
        <v>0.29015960940228275</v>
      </c>
    </row>
    <row r="34" spans="2:11" x14ac:dyDescent="0.25">
      <c r="B34" s="9">
        <v>10</v>
      </c>
      <c r="C34" s="9" t="s">
        <v>91</v>
      </c>
      <c r="D34" s="9">
        <f t="shared" si="0"/>
        <v>0.15323323530050201</v>
      </c>
      <c r="E34" s="9">
        <f t="shared" si="1"/>
        <v>5.3267289085461481E-2</v>
      </c>
      <c r="H34" s="9">
        <v>10</v>
      </c>
      <c r="I34" s="9" t="s">
        <v>91</v>
      </c>
      <c r="J34" s="9">
        <f t="shared" si="2"/>
        <v>1.7813387004745953</v>
      </c>
      <c r="K34" s="9">
        <f t="shared" si="3"/>
        <v>0.20469610027725491</v>
      </c>
    </row>
    <row r="35" spans="2:11" x14ac:dyDescent="0.25">
      <c r="B35" s="9">
        <v>30</v>
      </c>
      <c r="C35" s="9" t="s">
        <v>91</v>
      </c>
      <c r="D35" s="9">
        <f t="shared" si="0"/>
        <v>5.084151595472363E-2</v>
      </c>
      <c r="E35" s="9">
        <f t="shared" si="1"/>
        <v>3.5799656430340367E-2</v>
      </c>
      <c r="H35" s="9">
        <v>30</v>
      </c>
      <c r="I35" s="9" t="s">
        <v>91</v>
      </c>
      <c r="J35" s="9">
        <f t="shared" si="2"/>
        <v>1.7740572323451846</v>
      </c>
      <c r="K35" s="9">
        <f t="shared" si="3"/>
        <v>0.22003297172727376</v>
      </c>
    </row>
    <row r="36" spans="2:11" x14ac:dyDescent="0.25">
      <c r="B36" s="9">
        <v>60</v>
      </c>
      <c r="C36" s="9" t="s">
        <v>91</v>
      </c>
      <c r="D36" s="9">
        <f t="shared" si="0"/>
        <v>4.0503509370956654E-2</v>
      </c>
      <c r="E36" s="9">
        <f t="shared" si="1"/>
        <v>2.12472679246846E-2</v>
      </c>
      <c r="H36" s="9">
        <v>60</v>
      </c>
      <c r="I36" s="9" t="s">
        <v>91</v>
      </c>
      <c r="J36" s="9">
        <f t="shared" si="2"/>
        <v>1.8811843987407599</v>
      </c>
      <c r="K36" s="9">
        <f t="shared" si="3"/>
        <v>0.19593175733376597</v>
      </c>
    </row>
    <row r="37" spans="2:11" x14ac:dyDescent="0.25">
      <c r="B37" s="9">
        <v>120</v>
      </c>
      <c r="C37" s="9" t="s">
        <v>91</v>
      </c>
      <c r="D37" s="9">
        <f t="shared" si="0"/>
        <v>4.0784563213333715E-2</v>
      </c>
      <c r="E37" s="9">
        <f t="shared" si="1"/>
        <v>2.0659373545165532E-2</v>
      </c>
      <c r="H37" s="9">
        <v>120</v>
      </c>
      <c r="I37" s="9" t="s">
        <v>91</v>
      </c>
      <c r="J37" s="9">
        <f t="shared" si="2"/>
        <v>1.7518009296643975</v>
      </c>
      <c r="K37" s="9">
        <f t="shared" si="3"/>
        <v>0.26992350456206843</v>
      </c>
    </row>
    <row r="38" spans="2:11" x14ac:dyDescent="0.25">
      <c r="B38" s="9">
        <v>0</v>
      </c>
      <c r="C38" t="s">
        <v>92</v>
      </c>
      <c r="D38">
        <f>AVERAGE(F4:H4)</f>
        <v>1</v>
      </c>
      <c r="E38">
        <f>_xlfn.STDEV.S(F4:H4)</f>
        <v>0</v>
      </c>
      <c r="H38" s="9">
        <v>0</v>
      </c>
      <c r="I38" s="9" t="s">
        <v>92</v>
      </c>
      <c r="J38">
        <f>AVERAGE(F17:H17)</f>
        <v>1</v>
      </c>
      <c r="K38">
        <f>_xlfn.STDEV.S(F17:H17)</f>
        <v>0</v>
      </c>
    </row>
    <row r="39" spans="2:11" x14ac:dyDescent="0.25">
      <c r="B39" s="9">
        <v>1</v>
      </c>
      <c r="C39" s="9" t="s">
        <v>92</v>
      </c>
      <c r="D39" s="9">
        <f t="shared" ref="D39:D45" si="4">AVERAGE(F5:H5)</f>
        <v>1.067426919949346</v>
      </c>
      <c r="E39" s="9">
        <f t="shared" ref="E39:E45" si="5">_xlfn.STDEV.S(F5:H5)</f>
        <v>0.13106059459500446</v>
      </c>
      <c r="H39" s="9">
        <v>1</v>
      </c>
      <c r="I39" s="9" t="s">
        <v>92</v>
      </c>
      <c r="J39" s="9">
        <f t="shared" ref="J39:J45" si="6">AVERAGE(F18:H18)</f>
        <v>1.1708065657391247</v>
      </c>
      <c r="K39" s="9">
        <f t="shared" ref="K39:K45" si="7">_xlfn.STDEV.S(F18:H18)</f>
        <v>0.21846907478224875</v>
      </c>
    </row>
    <row r="40" spans="2:11" x14ac:dyDescent="0.25">
      <c r="B40" s="9">
        <v>3</v>
      </c>
      <c r="C40" s="9" t="s">
        <v>92</v>
      </c>
      <c r="D40" s="9">
        <f t="shared" si="4"/>
        <v>1.0272665205566014</v>
      </c>
      <c r="E40" s="9">
        <f t="shared" si="5"/>
        <v>0.12400166540698911</v>
      </c>
      <c r="H40" s="9">
        <v>3</v>
      </c>
      <c r="I40" s="9" t="s">
        <v>92</v>
      </c>
      <c r="J40" s="9">
        <f t="shared" si="6"/>
        <v>1.1216270563716391</v>
      </c>
      <c r="K40" s="9">
        <f t="shared" si="7"/>
        <v>0.28189597693910579</v>
      </c>
    </row>
    <row r="41" spans="2:11" x14ac:dyDescent="0.25">
      <c r="B41" s="9">
        <v>5</v>
      </c>
      <c r="C41" s="9" t="s">
        <v>92</v>
      </c>
      <c r="D41" s="9">
        <f t="shared" si="4"/>
        <v>1.0718196295763165</v>
      </c>
      <c r="E41" s="9">
        <f t="shared" si="5"/>
        <v>4.4565654124422448E-2</v>
      </c>
      <c r="H41" s="9">
        <v>5</v>
      </c>
      <c r="I41" s="9" t="s">
        <v>92</v>
      </c>
      <c r="J41" s="9">
        <f t="shared" si="6"/>
        <v>1.1384896576850074</v>
      </c>
      <c r="K41" s="9">
        <f t="shared" si="7"/>
        <v>0.25522994538670929</v>
      </c>
    </row>
    <row r="42" spans="2:11" x14ac:dyDescent="0.25">
      <c r="B42" s="9">
        <v>10</v>
      </c>
      <c r="C42" s="9" t="s">
        <v>92</v>
      </c>
      <c r="D42" s="9">
        <f t="shared" si="4"/>
        <v>1.0768085121342228</v>
      </c>
      <c r="E42" s="9">
        <f t="shared" si="5"/>
        <v>0.10047820864082947</v>
      </c>
      <c r="H42" s="9">
        <v>10</v>
      </c>
      <c r="I42" s="9" t="s">
        <v>92</v>
      </c>
      <c r="J42" s="9">
        <f t="shared" si="6"/>
        <v>1.1799093088285837</v>
      </c>
      <c r="K42" s="9">
        <f t="shared" si="7"/>
        <v>0.35891562920378506</v>
      </c>
    </row>
    <row r="43" spans="2:11" x14ac:dyDescent="0.25">
      <c r="B43" s="9">
        <v>30</v>
      </c>
      <c r="C43" s="9" t="s">
        <v>92</v>
      </c>
      <c r="D43" s="9">
        <f t="shared" si="4"/>
        <v>1.0858590951525351</v>
      </c>
      <c r="E43" s="9">
        <f t="shared" si="5"/>
        <v>0.11269722513297917</v>
      </c>
      <c r="H43" s="9">
        <v>30</v>
      </c>
      <c r="I43" s="9" t="s">
        <v>92</v>
      </c>
      <c r="J43" s="9">
        <f t="shared" si="6"/>
        <v>1.2285746583324297</v>
      </c>
      <c r="K43" s="9">
        <f t="shared" si="7"/>
        <v>0.43924884059969499</v>
      </c>
    </row>
    <row r="44" spans="2:11" x14ac:dyDescent="0.25">
      <c r="B44" s="9">
        <v>60</v>
      </c>
      <c r="C44" s="9" t="s">
        <v>92</v>
      </c>
      <c r="D44" s="9">
        <f t="shared" si="4"/>
        <v>1.0555124583494722</v>
      </c>
      <c r="E44" s="9">
        <f t="shared" si="5"/>
        <v>0.12263101071379805</v>
      </c>
      <c r="H44" s="9">
        <v>60</v>
      </c>
      <c r="I44" s="9" t="s">
        <v>92</v>
      </c>
      <c r="J44" s="9">
        <f t="shared" si="6"/>
        <v>1.1975807625855552</v>
      </c>
      <c r="K44" s="9">
        <f t="shared" si="7"/>
        <v>0.51710429518986045</v>
      </c>
    </row>
    <row r="45" spans="2:11" x14ac:dyDescent="0.25">
      <c r="B45" s="9">
        <v>120</v>
      </c>
      <c r="C45" s="9" t="s">
        <v>92</v>
      </c>
      <c r="D45" s="9">
        <f t="shared" si="4"/>
        <v>1.1217449572331764</v>
      </c>
      <c r="E45" s="9">
        <f t="shared" si="5"/>
        <v>0.19264315978097449</v>
      </c>
      <c r="H45" s="9">
        <v>120</v>
      </c>
      <c r="I45" s="9" t="s">
        <v>92</v>
      </c>
      <c r="J45" s="9">
        <f t="shared" si="6"/>
        <v>0.98230779914821209</v>
      </c>
      <c r="K45" s="9">
        <f t="shared" si="7"/>
        <v>0.14960088862505785</v>
      </c>
    </row>
    <row r="46" spans="2:11" x14ac:dyDescent="0.25">
      <c r="B46" s="9">
        <v>0</v>
      </c>
      <c r="C46" t="s">
        <v>93</v>
      </c>
      <c r="D46">
        <f>AVERAGE(I4:K4)</f>
        <v>1</v>
      </c>
      <c r="E46">
        <f>_xlfn.STDEV.S(I4:K4)</f>
        <v>0</v>
      </c>
      <c r="H46" s="9">
        <v>0</v>
      </c>
      <c r="I46" s="9" t="s">
        <v>93</v>
      </c>
      <c r="J46">
        <f>AVERAGE(I17:K17)</f>
        <v>1</v>
      </c>
      <c r="K46">
        <f>_xlfn.STDEV.S(I17:K17)</f>
        <v>0</v>
      </c>
    </row>
    <row r="47" spans="2:11" x14ac:dyDescent="0.25">
      <c r="B47" s="9">
        <v>1</v>
      </c>
      <c r="C47" s="9" t="s">
        <v>93</v>
      </c>
      <c r="D47" s="9">
        <f t="shared" ref="D47:D53" si="8">AVERAGE(I5:K5)</f>
        <v>0.90580993785608388</v>
      </c>
      <c r="E47" s="9">
        <f t="shared" ref="E47:E53" si="9">_xlfn.STDEV.S(I5:K5)</f>
        <v>6.8250872655000683E-2</v>
      </c>
      <c r="H47" s="9">
        <v>1</v>
      </c>
      <c r="I47" s="9" t="s">
        <v>93</v>
      </c>
      <c r="J47" s="9">
        <f t="shared" ref="J47:J53" si="10">AVERAGE(I18:K18)</f>
        <v>0.95054095012151996</v>
      </c>
      <c r="K47" s="9">
        <f t="shared" ref="K47:K53" si="11">_xlfn.STDEV.S(I18:K18)</f>
        <v>6.8339350095703078E-2</v>
      </c>
    </row>
    <row r="48" spans="2:11" x14ac:dyDescent="0.25">
      <c r="B48" s="9">
        <v>3</v>
      </c>
      <c r="C48" s="9" t="s">
        <v>93</v>
      </c>
      <c r="D48" s="9">
        <f t="shared" si="8"/>
        <v>0.84655595109948234</v>
      </c>
      <c r="E48" s="9">
        <f t="shared" si="9"/>
        <v>6.220049631589597E-2</v>
      </c>
      <c r="H48" s="9">
        <v>3</v>
      </c>
      <c r="I48" s="9" t="s">
        <v>93</v>
      </c>
      <c r="J48" s="9">
        <f t="shared" si="10"/>
        <v>1.0414351852739203</v>
      </c>
      <c r="K48" s="9">
        <f t="shared" si="11"/>
        <v>9.5285101424019233E-2</v>
      </c>
    </row>
    <row r="49" spans="2:11" x14ac:dyDescent="0.25">
      <c r="B49" s="9">
        <v>5</v>
      </c>
      <c r="C49" s="9" t="s">
        <v>93</v>
      </c>
      <c r="D49" s="9">
        <f t="shared" si="8"/>
        <v>0.82739737859151952</v>
      </c>
      <c r="E49" s="9">
        <f t="shared" si="9"/>
        <v>6.5596199803453339E-2</v>
      </c>
      <c r="H49" s="9">
        <v>5</v>
      </c>
      <c r="I49" s="9" t="s">
        <v>93</v>
      </c>
      <c r="J49" s="9">
        <f t="shared" si="10"/>
        <v>1.0863507179363359</v>
      </c>
      <c r="K49" s="9">
        <f t="shared" si="11"/>
        <v>8.7365292623135513E-2</v>
      </c>
    </row>
    <row r="50" spans="2:11" x14ac:dyDescent="0.25">
      <c r="B50" s="9">
        <v>10</v>
      </c>
      <c r="C50" s="9" t="s">
        <v>93</v>
      </c>
      <c r="D50" s="9">
        <f t="shared" si="8"/>
        <v>0.62042219418903832</v>
      </c>
      <c r="E50" s="9">
        <f t="shared" si="9"/>
        <v>4.8877647754130116E-2</v>
      </c>
      <c r="H50" s="9">
        <v>10</v>
      </c>
      <c r="I50" s="9" t="s">
        <v>93</v>
      </c>
      <c r="J50" s="9">
        <f t="shared" si="10"/>
        <v>1.033258869546555</v>
      </c>
      <c r="K50" s="9">
        <f t="shared" si="11"/>
        <v>9.2155092920922013E-2</v>
      </c>
    </row>
    <row r="51" spans="2:11" x14ac:dyDescent="0.25">
      <c r="B51" s="9">
        <v>30</v>
      </c>
      <c r="C51" s="9" t="s">
        <v>93</v>
      </c>
      <c r="D51" s="9">
        <f t="shared" si="8"/>
        <v>0.37953202045391093</v>
      </c>
      <c r="E51" s="9">
        <f t="shared" si="9"/>
        <v>2.0001182822679624E-3</v>
      </c>
      <c r="H51" s="9">
        <v>30</v>
      </c>
      <c r="I51" s="9" t="s">
        <v>93</v>
      </c>
      <c r="J51" s="9">
        <f t="shared" si="10"/>
        <v>1.2381080429685847</v>
      </c>
      <c r="K51" s="9">
        <f t="shared" si="11"/>
        <v>0.19032184634663837</v>
      </c>
    </row>
    <row r="52" spans="2:11" x14ac:dyDescent="0.25">
      <c r="B52" s="9">
        <v>60</v>
      </c>
      <c r="C52" s="9" t="s">
        <v>93</v>
      </c>
      <c r="D52" s="9">
        <f t="shared" si="8"/>
        <v>0.23382247178339408</v>
      </c>
      <c r="E52" s="9">
        <f t="shared" si="9"/>
        <v>3.4568077498495824E-2</v>
      </c>
      <c r="H52" s="9">
        <v>60</v>
      </c>
      <c r="I52" s="9" t="s">
        <v>93</v>
      </c>
      <c r="J52" s="9">
        <f t="shared" si="10"/>
        <v>1.5352856608780039</v>
      </c>
      <c r="K52" s="9">
        <f t="shared" si="11"/>
        <v>0.1368196682830343</v>
      </c>
    </row>
    <row r="53" spans="2:11" x14ac:dyDescent="0.25">
      <c r="B53" s="9">
        <v>120</v>
      </c>
      <c r="C53" s="9" t="s">
        <v>93</v>
      </c>
      <c r="D53" s="9">
        <f t="shared" si="8"/>
        <v>6.633307414165826E-2</v>
      </c>
      <c r="E53" s="9">
        <f t="shared" si="9"/>
        <v>2.9476190927974502E-2</v>
      </c>
      <c r="H53" s="9">
        <v>120</v>
      </c>
      <c r="I53" s="9" t="s">
        <v>93</v>
      </c>
      <c r="J53" s="9">
        <f t="shared" si="10"/>
        <v>1.4150071141208596</v>
      </c>
      <c r="K53" s="9">
        <f t="shared" si="11"/>
        <v>0.31030518069396212</v>
      </c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sqref="A1:D25"/>
    </sheetView>
  </sheetViews>
  <sheetFormatPr defaultRowHeight="15" x14ac:dyDescent="0.25"/>
  <sheetData>
    <row r="1" spans="1:4" x14ac:dyDescent="0.25">
      <c r="A1" t="s">
        <v>74</v>
      </c>
      <c r="B1" t="s">
        <v>88</v>
      </c>
      <c r="C1" t="s">
        <v>89</v>
      </c>
      <c r="D1" t="s">
        <v>90</v>
      </c>
    </row>
    <row r="2" spans="1:4" x14ac:dyDescent="0.25">
      <c r="A2">
        <v>0</v>
      </c>
      <c r="B2" t="s">
        <v>91</v>
      </c>
      <c r="C2">
        <v>1</v>
      </c>
      <c r="D2">
        <v>0</v>
      </c>
    </row>
    <row r="3" spans="1:4" x14ac:dyDescent="0.25">
      <c r="A3">
        <v>1</v>
      </c>
      <c r="B3" t="s">
        <v>91</v>
      </c>
      <c r="C3">
        <v>0.74800541629116335</v>
      </c>
      <c r="D3">
        <v>7.9037578598281921E-2</v>
      </c>
    </row>
    <row r="4" spans="1:4" x14ac:dyDescent="0.25">
      <c r="A4">
        <v>3</v>
      </c>
      <c r="B4" t="s">
        <v>91</v>
      </c>
      <c r="C4">
        <v>0.43544144175118121</v>
      </c>
      <c r="D4">
        <v>3.4316937378854391E-2</v>
      </c>
    </row>
    <row r="5" spans="1:4" x14ac:dyDescent="0.25">
      <c r="A5">
        <v>5</v>
      </c>
      <c r="B5" t="s">
        <v>91</v>
      </c>
      <c r="C5">
        <v>0.27792216282645116</v>
      </c>
      <c r="D5">
        <v>5.8786714029455504E-2</v>
      </c>
    </row>
    <row r="6" spans="1:4" x14ac:dyDescent="0.25">
      <c r="A6">
        <v>10</v>
      </c>
      <c r="B6" t="s">
        <v>91</v>
      </c>
      <c r="C6">
        <v>0.15323323530050201</v>
      </c>
      <c r="D6">
        <v>5.3267289085461481E-2</v>
      </c>
    </row>
    <row r="7" spans="1:4" x14ac:dyDescent="0.25">
      <c r="A7">
        <v>30</v>
      </c>
      <c r="B7" t="s">
        <v>91</v>
      </c>
      <c r="C7">
        <v>5.084151595472363E-2</v>
      </c>
      <c r="D7">
        <v>3.5799656430340367E-2</v>
      </c>
    </row>
    <row r="8" spans="1:4" x14ac:dyDescent="0.25">
      <c r="A8">
        <v>60</v>
      </c>
      <c r="B8" t="s">
        <v>91</v>
      </c>
      <c r="C8">
        <v>4.0503509370956654E-2</v>
      </c>
      <c r="D8">
        <v>2.12472679246846E-2</v>
      </c>
    </row>
    <row r="9" spans="1:4" x14ac:dyDescent="0.25">
      <c r="A9">
        <v>120</v>
      </c>
      <c r="B9" t="s">
        <v>91</v>
      </c>
      <c r="C9">
        <v>4.0784563213333715E-2</v>
      </c>
      <c r="D9">
        <v>2.0659373545165532E-2</v>
      </c>
    </row>
    <row r="10" spans="1:4" x14ac:dyDescent="0.25">
      <c r="A10">
        <v>0</v>
      </c>
      <c r="B10" t="s">
        <v>92</v>
      </c>
      <c r="C10">
        <v>1</v>
      </c>
      <c r="D10">
        <v>0</v>
      </c>
    </row>
    <row r="11" spans="1:4" x14ac:dyDescent="0.25">
      <c r="A11">
        <v>1</v>
      </c>
      <c r="B11" t="s">
        <v>92</v>
      </c>
      <c r="C11">
        <v>1.067426919949346</v>
      </c>
      <c r="D11">
        <v>0.13106059459500446</v>
      </c>
    </row>
    <row r="12" spans="1:4" x14ac:dyDescent="0.25">
      <c r="A12">
        <v>3</v>
      </c>
      <c r="B12" t="s">
        <v>92</v>
      </c>
      <c r="C12">
        <v>1.0272665205566014</v>
      </c>
      <c r="D12">
        <v>0.12400166540698911</v>
      </c>
    </row>
    <row r="13" spans="1:4" x14ac:dyDescent="0.25">
      <c r="A13">
        <v>5</v>
      </c>
      <c r="B13" t="s">
        <v>92</v>
      </c>
      <c r="C13">
        <v>1.0718196295763165</v>
      </c>
      <c r="D13">
        <v>4.4565654124422448E-2</v>
      </c>
    </row>
    <row r="14" spans="1:4" x14ac:dyDescent="0.25">
      <c r="A14">
        <v>10</v>
      </c>
      <c r="B14" t="s">
        <v>92</v>
      </c>
      <c r="C14">
        <v>1.0768085121342228</v>
      </c>
      <c r="D14">
        <v>0.10047820864082947</v>
      </c>
    </row>
    <row r="15" spans="1:4" x14ac:dyDescent="0.25">
      <c r="A15">
        <v>30</v>
      </c>
      <c r="B15" t="s">
        <v>92</v>
      </c>
      <c r="C15">
        <v>1.0858590951525351</v>
      </c>
      <c r="D15">
        <v>0.11269722513297917</v>
      </c>
    </row>
    <row r="16" spans="1:4" x14ac:dyDescent="0.25">
      <c r="A16">
        <v>60</v>
      </c>
      <c r="B16" t="s">
        <v>92</v>
      </c>
      <c r="C16">
        <v>1.0555124583494722</v>
      </c>
      <c r="D16">
        <v>0.12263101071379805</v>
      </c>
    </row>
    <row r="17" spans="1:4" x14ac:dyDescent="0.25">
      <c r="A17">
        <v>120</v>
      </c>
      <c r="B17" t="s">
        <v>92</v>
      </c>
      <c r="C17">
        <v>1.1217449572331764</v>
      </c>
      <c r="D17">
        <v>0.19264315978097449</v>
      </c>
    </row>
    <row r="18" spans="1:4" x14ac:dyDescent="0.25">
      <c r="A18">
        <v>0</v>
      </c>
      <c r="B18" t="s">
        <v>93</v>
      </c>
      <c r="C18">
        <v>1</v>
      </c>
      <c r="D18">
        <v>0</v>
      </c>
    </row>
    <row r="19" spans="1:4" x14ac:dyDescent="0.25">
      <c r="A19">
        <v>1</v>
      </c>
      <c r="B19" t="s">
        <v>93</v>
      </c>
      <c r="C19">
        <v>0.90580993785608388</v>
      </c>
      <c r="D19">
        <v>6.8250872655000683E-2</v>
      </c>
    </row>
    <row r="20" spans="1:4" x14ac:dyDescent="0.25">
      <c r="A20">
        <v>3</v>
      </c>
      <c r="B20" t="s">
        <v>93</v>
      </c>
      <c r="C20">
        <v>0.84655595109948234</v>
      </c>
      <c r="D20">
        <v>6.220049631589597E-2</v>
      </c>
    </row>
    <row r="21" spans="1:4" x14ac:dyDescent="0.25">
      <c r="A21">
        <v>5</v>
      </c>
      <c r="B21" t="s">
        <v>93</v>
      </c>
      <c r="C21">
        <v>0.82739737859151952</v>
      </c>
      <c r="D21">
        <v>6.5596199803453339E-2</v>
      </c>
    </row>
    <row r="22" spans="1:4" x14ac:dyDescent="0.25">
      <c r="A22">
        <v>10</v>
      </c>
      <c r="B22" t="s">
        <v>93</v>
      </c>
      <c r="C22">
        <v>0.62042219418903832</v>
      </c>
      <c r="D22">
        <v>4.8877647754130116E-2</v>
      </c>
    </row>
    <row r="23" spans="1:4" x14ac:dyDescent="0.25">
      <c r="A23">
        <v>30</v>
      </c>
      <c r="B23" t="s">
        <v>93</v>
      </c>
      <c r="C23">
        <v>0.37953202045391093</v>
      </c>
      <c r="D23">
        <v>2.0001182822679624E-3</v>
      </c>
    </row>
    <row r="24" spans="1:4" x14ac:dyDescent="0.25">
      <c r="A24">
        <v>60</v>
      </c>
      <c r="B24" t="s">
        <v>93</v>
      </c>
      <c r="C24">
        <v>0.23382247178339408</v>
      </c>
      <c r="D24">
        <v>3.4568077498495824E-2</v>
      </c>
    </row>
    <row r="25" spans="1:4" x14ac:dyDescent="0.25">
      <c r="A25">
        <v>120</v>
      </c>
      <c r="B25" t="s">
        <v>93</v>
      </c>
      <c r="C25">
        <v>6.633307414165826E-2</v>
      </c>
      <c r="D25">
        <v>2.9476190927974502E-2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K38" sqref="K38"/>
    </sheetView>
  </sheetViews>
  <sheetFormatPr defaultRowHeight="15" x14ac:dyDescent="0.25"/>
  <sheetData>
    <row r="1" spans="1:4" x14ac:dyDescent="0.25">
      <c r="A1" t="s">
        <v>74</v>
      </c>
      <c r="B1" t="s">
        <v>88</v>
      </c>
      <c r="C1" t="s">
        <v>89</v>
      </c>
      <c r="D1" t="s">
        <v>90</v>
      </c>
    </row>
    <row r="2" spans="1:4" x14ac:dyDescent="0.25">
      <c r="A2">
        <v>0</v>
      </c>
      <c r="B2" t="s">
        <v>91</v>
      </c>
      <c r="C2">
        <v>1</v>
      </c>
      <c r="D2">
        <v>0</v>
      </c>
    </row>
    <row r="3" spans="1:4" x14ac:dyDescent="0.25">
      <c r="A3">
        <v>1</v>
      </c>
      <c r="B3" t="s">
        <v>91</v>
      </c>
      <c r="C3">
        <v>1.266260141422096</v>
      </c>
      <c r="D3">
        <v>0.18366628906653557</v>
      </c>
    </row>
    <row r="4" spans="1:4" x14ac:dyDescent="0.25">
      <c r="A4">
        <v>3</v>
      </c>
      <c r="B4" t="s">
        <v>91</v>
      </c>
      <c r="C4">
        <v>1.4286190248304118</v>
      </c>
      <c r="D4">
        <v>0.24515748157777584</v>
      </c>
    </row>
    <row r="5" spans="1:4" x14ac:dyDescent="0.25">
      <c r="A5">
        <v>5</v>
      </c>
      <c r="B5" t="s">
        <v>91</v>
      </c>
      <c r="C5">
        <v>1.5233974523258513</v>
      </c>
      <c r="D5">
        <v>0.29015960940228275</v>
      </c>
    </row>
    <row r="6" spans="1:4" x14ac:dyDescent="0.25">
      <c r="A6">
        <v>10</v>
      </c>
      <c r="B6" t="s">
        <v>91</v>
      </c>
      <c r="C6">
        <v>1.7813387004745953</v>
      </c>
      <c r="D6">
        <v>0.20469610027725491</v>
      </c>
    </row>
    <row r="7" spans="1:4" x14ac:dyDescent="0.25">
      <c r="A7">
        <v>30</v>
      </c>
      <c r="B7" t="s">
        <v>91</v>
      </c>
      <c r="C7">
        <v>1.7740572323451846</v>
      </c>
      <c r="D7">
        <v>0.22003297172727376</v>
      </c>
    </row>
    <row r="8" spans="1:4" x14ac:dyDescent="0.25">
      <c r="A8">
        <v>60</v>
      </c>
      <c r="B8" t="s">
        <v>91</v>
      </c>
      <c r="C8">
        <v>1.8811843987407599</v>
      </c>
      <c r="D8">
        <v>0.19593175733376597</v>
      </c>
    </row>
    <row r="9" spans="1:4" x14ac:dyDescent="0.25">
      <c r="A9">
        <v>120</v>
      </c>
      <c r="B9" t="s">
        <v>91</v>
      </c>
      <c r="C9">
        <v>1.7518009296643975</v>
      </c>
      <c r="D9">
        <v>0.26992350456206843</v>
      </c>
    </row>
    <row r="10" spans="1:4" x14ac:dyDescent="0.25">
      <c r="A10">
        <v>0</v>
      </c>
      <c r="B10" t="s">
        <v>92</v>
      </c>
      <c r="C10">
        <v>1</v>
      </c>
      <c r="D10">
        <v>0</v>
      </c>
    </row>
    <row r="11" spans="1:4" x14ac:dyDescent="0.25">
      <c r="A11">
        <v>1</v>
      </c>
      <c r="B11" t="s">
        <v>92</v>
      </c>
      <c r="C11">
        <v>1.1708065657391247</v>
      </c>
      <c r="D11">
        <v>0.21846907478224875</v>
      </c>
    </row>
    <row r="12" spans="1:4" x14ac:dyDescent="0.25">
      <c r="A12">
        <v>3</v>
      </c>
      <c r="B12" t="s">
        <v>92</v>
      </c>
      <c r="C12">
        <v>1.1216270563716391</v>
      </c>
      <c r="D12">
        <v>0.28189597693910579</v>
      </c>
    </row>
    <row r="13" spans="1:4" x14ac:dyDescent="0.25">
      <c r="A13">
        <v>5</v>
      </c>
      <c r="B13" t="s">
        <v>92</v>
      </c>
      <c r="C13">
        <v>1.1384896576850074</v>
      </c>
      <c r="D13">
        <v>0.25522994538670929</v>
      </c>
    </row>
    <row r="14" spans="1:4" x14ac:dyDescent="0.25">
      <c r="A14">
        <v>10</v>
      </c>
      <c r="B14" t="s">
        <v>92</v>
      </c>
      <c r="C14">
        <v>1.1799093088285837</v>
      </c>
      <c r="D14">
        <v>0.35891562920378506</v>
      </c>
    </row>
    <row r="15" spans="1:4" x14ac:dyDescent="0.25">
      <c r="A15">
        <v>30</v>
      </c>
      <c r="B15" t="s">
        <v>92</v>
      </c>
      <c r="C15">
        <v>1.2285746583324297</v>
      </c>
      <c r="D15">
        <v>0.43924884059969499</v>
      </c>
    </row>
    <row r="16" spans="1:4" x14ac:dyDescent="0.25">
      <c r="A16">
        <v>60</v>
      </c>
      <c r="B16" t="s">
        <v>92</v>
      </c>
      <c r="C16">
        <v>1.1975807625855552</v>
      </c>
      <c r="D16">
        <v>0.51710429518986045</v>
      </c>
    </row>
    <row r="17" spans="1:4" x14ac:dyDescent="0.25">
      <c r="A17">
        <v>120</v>
      </c>
      <c r="B17" t="s">
        <v>92</v>
      </c>
      <c r="C17">
        <v>0.98230779914821209</v>
      </c>
      <c r="D17">
        <v>0.14960088862505785</v>
      </c>
    </row>
    <row r="18" spans="1:4" x14ac:dyDescent="0.25">
      <c r="A18">
        <v>0</v>
      </c>
      <c r="B18" t="s">
        <v>93</v>
      </c>
      <c r="C18">
        <v>1</v>
      </c>
      <c r="D18">
        <v>0</v>
      </c>
    </row>
    <row r="19" spans="1:4" x14ac:dyDescent="0.25">
      <c r="A19">
        <v>1</v>
      </c>
      <c r="B19" t="s">
        <v>93</v>
      </c>
      <c r="C19">
        <v>0.95054095012151996</v>
      </c>
      <c r="D19">
        <v>6.8339350095703078E-2</v>
      </c>
    </row>
    <row r="20" spans="1:4" x14ac:dyDescent="0.25">
      <c r="A20">
        <v>3</v>
      </c>
      <c r="B20" t="s">
        <v>93</v>
      </c>
      <c r="C20">
        <v>1.0414351852739203</v>
      </c>
      <c r="D20">
        <v>9.5285101424019233E-2</v>
      </c>
    </row>
    <row r="21" spans="1:4" x14ac:dyDescent="0.25">
      <c r="A21">
        <v>5</v>
      </c>
      <c r="B21" t="s">
        <v>93</v>
      </c>
      <c r="C21">
        <v>1.0863507179363359</v>
      </c>
      <c r="D21">
        <v>8.7365292623135513E-2</v>
      </c>
    </row>
    <row r="22" spans="1:4" x14ac:dyDescent="0.25">
      <c r="A22">
        <v>10</v>
      </c>
      <c r="B22" t="s">
        <v>93</v>
      </c>
      <c r="C22">
        <v>1.033258869546555</v>
      </c>
      <c r="D22">
        <v>9.2155092920922013E-2</v>
      </c>
    </row>
    <row r="23" spans="1:4" x14ac:dyDescent="0.25">
      <c r="A23">
        <v>30</v>
      </c>
      <c r="B23" t="s">
        <v>93</v>
      </c>
      <c r="C23">
        <v>1.2381080429685847</v>
      </c>
      <c r="D23">
        <v>0.19032184634663837</v>
      </c>
    </row>
    <row r="24" spans="1:4" x14ac:dyDescent="0.25">
      <c r="A24">
        <v>60</v>
      </c>
      <c r="B24" t="s">
        <v>93</v>
      </c>
      <c r="C24">
        <v>1.5352856608780039</v>
      </c>
      <c r="D24">
        <v>0.1368196682830343</v>
      </c>
    </row>
    <row r="25" spans="1:4" x14ac:dyDescent="0.25">
      <c r="A25">
        <v>120</v>
      </c>
      <c r="B25" t="s">
        <v>93</v>
      </c>
      <c r="C25">
        <v>1.4150071141208596</v>
      </c>
      <c r="D25">
        <v>0.31030518069396212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NudE.1 M1 R1</vt:lpstr>
      <vt:lpstr>NudE.1 WT, NudC WT R1</vt:lpstr>
      <vt:lpstr>NudE.1 WT and M1, NudC WT R2</vt:lpstr>
      <vt:lpstr>NudE.1 WT R2 repeated</vt:lpstr>
      <vt:lpstr>NudE.1 WT and M1, NudC WT R3</vt:lpstr>
      <vt:lpstr>Summarised data</vt:lpstr>
      <vt:lpstr>NAD-RNA-decapping</vt:lpstr>
      <vt:lpstr>P-RNA-increase</vt:lpstr>
    </vt:vector>
  </TitlesOfParts>
  <Company>MPI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Wolfram-Schauerte Maik</dc:creator>
  <cp:lastModifiedBy>Wolfram-Schauerte Maik</cp:lastModifiedBy>
  <dcterms:created xsi:type="dcterms:W3CDTF">2023-05-04T04:49:47Z</dcterms:created>
  <dcterms:modified xsi:type="dcterms:W3CDTF">2023-05-04T14:29:30Z</dcterms:modified>
</cp:coreProperties>
</file>