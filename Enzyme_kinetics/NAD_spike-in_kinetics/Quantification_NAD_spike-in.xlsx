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NAD_spike-in_kinetics\"/>
    </mc:Choice>
  </mc:AlternateContent>
  <bookViews>
    <workbookView xWindow="0" yWindow="0" windowWidth="21570" windowHeight="9405" firstSheet="4" activeTab="9"/>
  </bookViews>
  <sheets>
    <sheet name="NudE.1 WT R1" sheetId="1" r:id="rId1"/>
    <sheet name="NudC WT R1" sheetId="2" r:id="rId2"/>
    <sheet name="NudE.1 WT R2" sheetId="3" r:id="rId3"/>
    <sheet name="NudC WT R2" sheetId="4" r:id="rId4"/>
    <sheet name="NudE.1 WT R3" sheetId="5" r:id="rId5"/>
    <sheet name="NudC WT R3" sheetId="6" r:id="rId6"/>
    <sheet name="NudE.1 WT R6" sheetId="10" r:id="rId7"/>
    <sheet name="NudC WT R6" sheetId="11" r:id="rId8"/>
    <sheet name="Gathered" sheetId="7" r:id="rId9"/>
    <sheet name="Final_R1_R2_R6" sheetId="12" r:id="rId10"/>
    <sheet name="Final" sheetId="9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7" l="1"/>
  <c r="O26" i="7"/>
  <c r="N27" i="7"/>
  <c r="O27" i="7"/>
  <c r="N28" i="7"/>
  <c r="O28" i="7"/>
  <c r="N29" i="7"/>
  <c r="O29" i="7"/>
  <c r="N30" i="7"/>
  <c r="O30" i="7"/>
  <c r="N31" i="7"/>
  <c r="O31" i="7"/>
  <c r="N32" i="7"/>
  <c r="O32" i="7"/>
  <c r="N33" i="7"/>
  <c r="O33" i="7"/>
  <c r="N34" i="7"/>
  <c r="O34" i="7"/>
  <c r="N35" i="7"/>
  <c r="O35" i="7"/>
  <c r="N36" i="7"/>
  <c r="O36" i="7"/>
  <c r="N37" i="7"/>
  <c r="O37" i="7"/>
  <c r="N38" i="7"/>
  <c r="O38" i="7"/>
  <c r="N39" i="7"/>
  <c r="O39" i="7"/>
  <c r="N40" i="7"/>
  <c r="O40" i="7"/>
  <c r="N41" i="7"/>
  <c r="O41" i="7"/>
  <c r="N42" i="7"/>
  <c r="O42" i="7"/>
  <c r="N43" i="7"/>
  <c r="O43" i="7"/>
  <c r="N44" i="7"/>
  <c r="O44" i="7"/>
  <c r="N45" i="7"/>
  <c r="O45" i="7"/>
  <c r="N46" i="7"/>
  <c r="O46" i="7"/>
  <c r="N47" i="7"/>
  <c r="O47" i="7"/>
  <c r="N48" i="7"/>
  <c r="O48" i="7"/>
  <c r="N49" i="7"/>
  <c r="O49" i="7"/>
  <c r="N3" i="7"/>
  <c r="O3" i="7"/>
  <c r="N4" i="7"/>
  <c r="O4" i="7"/>
  <c r="N5" i="7"/>
  <c r="O5" i="7"/>
  <c r="N6" i="7"/>
  <c r="O6" i="7"/>
  <c r="N7" i="7"/>
  <c r="O7" i="7"/>
  <c r="N8" i="7"/>
  <c r="O8" i="7"/>
  <c r="N9" i="7"/>
  <c r="O9" i="7"/>
  <c r="N10" i="7"/>
  <c r="O10" i="7"/>
  <c r="N11" i="7"/>
  <c r="O11" i="7"/>
  <c r="N12" i="7"/>
  <c r="O12" i="7"/>
  <c r="N13" i="7"/>
  <c r="O13" i="7"/>
  <c r="N14" i="7"/>
  <c r="O14" i="7"/>
  <c r="N15" i="7"/>
  <c r="O15" i="7"/>
  <c r="N16" i="7"/>
  <c r="O16" i="7"/>
  <c r="N17" i="7"/>
  <c r="O17" i="7"/>
  <c r="N18" i="7"/>
  <c r="O18" i="7"/>
  <c r="N19" i="7"/>
  <c r="O19" i="7"/>
  <c r="N20" i="7"/>
  <c r="O20" i="7"/>
  <c r="N21" i="7"/>
  <c r="O21" i="7"/>
  <c r="N22" i="7"/>
  <c r="O22" i="7"/>
  <c r="N23" i="7"/>
  <c r="O23" i="7"/>
  <c r="N24" i="7"/>
  <c r="O24" i="7"/>
  <c r="N25" i="7"/>
  <c r="O25" i="7"/>
  <c r="O2" i="7"/>
  <c r="N2" i="7"/>
  <c r="P25" i="11"/>
  <c r="P26" i="11"/>
  <c r="P27" i="11"/>
  <c r="P28" i="11"/>
  <c r="P29" i="11"/>
  <c r="P30" i="11"/>
  <c r="P31" i="11"/>
  <c r="P24" i="11"/>
  <c r="P17" i="11"/>
  <c r="P18" i="11"/>
  <c r="P19" i="11"/>
  <c r="P20" i="11"/>
  <c r="P21" i="11"/>
  <c r="P22" i="11"/>
  <c r="P23" i="11"/>
  <c r="P16" i="11"/>
  <c r="P9" i="11"/>
  <c r="P10" i="11"/>
  <c r="P11" i="11"/>
  <c r="P12" i="11"/>
  <c r="P13" i="11"/>
  <c r="P14" i="11"/>
  <c r="P15" i="11"/>
  <c r="P8" i="11"/>
  <c r="P25" i="10"/>
  <c r="P26" i="10"/>
  <c r="P27" i="10"/>
  <c r="P28" i="10"/>
  <c r="P29" i="10"/>
  <c r="P30" i="10"/>
  <c r="P31" i="10"/>
  <c r="P24" i="10"/>
  <c r="P17" i="10"/>
  <c r="P18" i="10"/>
  <c r="P19" i="10"/>
  <c r="P20" i="10"/>
  <c r="P21" i="10"/>
  <c r="P22" i="10"/>
  <c r="P23" i="10"/>
  <c r="P16" i="10"/>
  <c r="P9" i="10"/>
  <c r="P10" i="10"/>
  <c r="P11" i="10"/>
  <c r="P12" i="10"/>
  <c r="P13" i="10"/>
  <c r="P14" i="10"/>
  <c r="P15" i="10"/>
  <c r="P8" i="10"/>
  <c r="G3" i="7" l="1"/>
  <c r="H3" i="7"/>
  <c r="G4" i="7"/>
  <c r="H4" i="7"/>
  <c r="G5" i="7"/>
  <c r="H5" i="7"/>
  <c r="G6" i="7"/>
  <c r="H6" i="7"/>
  <c r="G7" i="7"/>
  <c r="H7" i="7"/>
  <c r="G8" i="7"/>
  <c r="H8" i="7"/>
  <c r="G9" i="7"/>
  <c r="H9" i="7"/>
  <c r="G10" i="7"/>
  <c r="H10" i="7"/>
  <c r="G11" i="7"/>
  <c r="H11" i="7"/>
  <c r="G12" i="7"/>
  <c r="H12" i="7"/>
  <c r="G13" i="7"/>
  <c r="H13" i="7"/>
  <c r="G14" i="7"/>
  <c r="H14" i="7"/>
  <c r="G15" i="7"/>
  <c r="H15" i="7"/>
  <c r="G16" i="7"/>
  <c r="H16" i="7"/>
  <c r="G17" i="7"/>
  <c r="H17" i="7"/>
  <c r="G18" i="7"/>
  <c r="H18" i="7"/>
  <c r="G19" i="7"/>
  <c r="H19" i="7"/>
  <c r="G20" i="7"/>
  <c r="H20" i="7"/>
  <c r="G21" i="7"/>
  <c r="H21" i="7"/>
  <c r="G22" i="7"/>
  <c r="H22" i="7"/>
  <c r="G23" i="7"/>
  <c r="H23" i="7"/>
  <c r="G24" i="7"/>
  <c r="H24" i="7"/>
  <c r="G25" i="7"/>
  <c r="H25" i="7"/>
  <c r="G26" i="7"/>
  <c r="H26" i="7"/>
  <c r="G27" i="7"/>
  <c r="H27" i="7"/>
  <c r="G28" i="7"/>
  <c r="H28" i="7"/>
  <c r="G29" i="7"/>
  <c r="H29" i="7"/>
  <c r="G30" i="7"/>
  <c r="H30" i="7"/>
  <c r="G31" i="7"/>
  <c r="H31" i="7"/>
  <c r="G32" i="7"/>
  <c r="H32" i="7"/>
  <c r="G33" i="7"/>
  <c r="H33" i="7"/>
  <c r="G34" i="7"/>
  <c r="H34" i="7"/>
  <c r="G35" i="7"/>
  <c r="H35" i="7"/>
  <c r="G36" i="7"/>
  <c r="H36" i="7"/>
  <c r="G37" i="7"/>
  <c r="H37" i="7"/>
  <c r="G38" i="7"/>
  <c r="H38" i="7"/>
  <c r="G39" i="7"/>
  <c r="H39" i="7"/>
  <c r="G40" i="7"/>
  <c r="H40" i="7"/>
  <c r="G41" i="7"/>
  <c r="H41" i="7"/>
  <c r="G42" i="7"/>
  <c r="H42" i="7"/>
  <c r="G43" i="7"/>
  <c r="H43" i="7"/>
  <c r="G44" i="7"/>
  <c r="H44" i="7"/>
  <c r="G45" i="7"/>
  <c r="H45" i="7"/>
  <c r="G46" i="7"/>
  <c r="H46" i="7"/>
  <c r="G47" i="7"/>
  <c r="H47" i="7"/>
  <c r="G48" i="7"/>
  <c r="H48" i="7"/>
  <c r="G49" i="7"/>
  <c r="H49" i="7"/>
  <c r="H2" i="7"/>
  <c r="G2" i="7"/>
  <c r="P25" i="6"/>
  <c r="P26" i="6"/>
  <c r="P27" i="6"/>
  <c r="P28" i="6"/>
  <c r="P29" i="6"/>
  <c r="P30" i="6"/>
  <c r="P31" i="6"/>
  <c r="P24" i="6"/>
  <c r="P17" i="6"/>
  <c r="P18" i="6"/>
  <c r="P19" i="6"/>
  <c r="P20" i="6"/>
  <c r="P21" i="6"/>
  <c r="P22" i="6"/>
  <c r="P23" i="6"/>
  <c r="P16" i="6"/>
  <c r="P9" i="6"/>
  <c r="P10" i="6"/>
  <c r="P11" i="6"/>
  <c r="P12" i="6"/>
  <c r="P13" i="6"/>
  <c r="P14" i="6"/>
  <c r="P15" i="6"/>
  <c r="P8" i="6"/>
  <c r="P25" i="5"/>
  <c r="P26" i="5"/>
  <c r="P27" i="5"/>
  <c r="P28" i="5"/>
  <c r="P29" i="5"/>
  <c r="P30" i="5"/>
  <c r="P31" i="5"/>
  <c r="P24" i="5"/>
  <c r="P17" i="5"/>
  <c r="P18" i="5"/>
  <c r="P19" i="5"/>
  <c r="P20" i="5"/>
  <c r="P21" i="5"/>
  <c r="P22" i="5"/>
  <c r="P23" i="5"/>
  <c r="P16" i="5"/>
  <c r="P9" i="5"/>
  <c r="P10" i="5"/>
  <c r="P11" i="5"/>
  <c r="P12" i="5"/>
  <c r="P13" i="5"/>
  <c r="P14" i="5"/>
  <c r="P15" i="5"/>
  <c r="P8" i="5"/>
  <c r="P25" i="4"/>
  <c r="P26" i="4"/>
  <c r="P27" i="4"/>
  <c r="P28" i="4"/>
  <c r="P29" i="4"/>
  <c r="P30" i="4"/>
  <c r="P31" i="4"/>
  <c r="P24" i="4"/>
  <c r="P17" i="4"/>
  <c r="P18" i="4"/>
  <c r="P19" i="4"/>
  <c r="P20" i="4"/>
  <c r="P21" i="4"/>
  <c r="P22" i="4"/>
  <c r="P23" i="4"/>
  <c r="P16" i="4"/>
  <c r="P9" i="4"/>
  <c r="P10" i="4"/>
  <c r="P11" i="4"/>
  <c r="P12" i="4"/>
  <c r="P13" i="4"/>
  <c r="P14" i="4"/>
  <c r="P15" i="4"/>
  <c r="P8" i="4"/>
  <c r="P25" i="3"/>
  <c r="P26" i="3"/>
  <c r="P27" i="3"/>
  <c r="P28" i="3"/>
  <c r="P29" i="3"/>
  <c r="P30" i="3"/>
  <c r="P31" i="3"/>
  <c r="P24" i="3"/>
  <c r="P17" i="3"/>
  <c r="P18" i="3"/>
  <c r="P19" i="3"/>
  <c r="P20" i="3"/>
  <c r="P21" i="3"/>
  <c r="P22" i="3"/>
  <c r="P23" i="3"/>
  <c r="P16" i="3"/>
  <c r="P9" i="3"/>
  <c r="P10" i="3"/>
  <c r="P11" i="3"/>
  <c r="P12" i="3"/>
  <c r="P13" i="3"/>
  <c r="P14" i="3"/>
  <c r="P15" i="3"/>
  <c r="P8" i="3"/>
  <c r="P25" i="2" l="1"/>
  <c r="P26" i="2"/>
  <c r="P27" i="2"/>
  <c r="P28" i="2"/>
  <c r="P29" i="2"/>
  <c r="P30" i="2"/>
  <c r="P31" i="2"/>
  <c r="P24" i="2"/>
  <c r="P17" i="2"/>
  <c r="P18" i="2"/>
  <c r="P19" i="2"/>
  <c r="P20" i="2"/>
  <c r="P21" i="2"/>
  <c r="P22" i="2"/>
  <c r="P23" i="2"/>
  <c r="P16" i="2"/>
  <c r="P9" i="2"/>
  <c r="P10" i="2"/>
  <c r="P11" i="2"/>
  <c r="P12" i="2"/>
  <c r="P13" i="2"/>
  <c r="P14" i="2"/>
  <c r="P15" i="2"/>
  <c r="P8" i="2"/>
  <c r="P25" i="1"/>
  <c r="P26" i="1"/>
  <c r="P27" i="1"/>
  <c r="P28" i="1"/>
  <c r="P29" i="1"/>
  <c r="P30" i="1"/>
  <c r="P31" i="1"/>
  <c r="P24" i="1"/>
  <c r="P17" i="1"/>
  <c r="P18" i="1"/>
  <c r="P19" i="1"/>
  <c r="P20" i="1"/>
  <c r="P21" i="1"/>
  <c r="P22" i="1"/>
  <c r="P23" i="1"/>
  <c r="P16" i="1"/>
  <c r="P9" i="1"/>
  <c r="P10" i="1"/>
  <c r="P11" i="1"/>
  <c r="P12" i="1"/>
  <c r="P13" i="1"/>
  <c r="P14" i="1"/>
  <c r="P15" i="1"/>
  <c r="P8" i="1"/>
</calcChain>
</file>

<file path=xl/sharedStrings.xml><?xml version="1.0" encoding="utf-8"?>
<sst xmlns="http://schemas.openxmlformats.org/spreadsheetml/2006/main" count="1231" uniqueCount="69">
  <si>
    <t>2023-05-10_NAD_spike-in_A-C_8s_quantified</t>
  </si>
  <si>
    <t>No.</t>
  </si>
  <si>
    <t>Label</t>
  </si>
  <si>
    <t>Type</t>
  </si>
  <si>
    <t>Volume (Int)</t>
  </si>
  <si>
    <t>Adj. Vol. (Int)</t>
  </si>
  <si>
    <t>Mean Bkgd. (Int)</t>
  </si>
  <si>
    <t>Abs. Quant.</t>
  </si>
  <si>
    <t>Rel. Quant.</t>
  </si>
  <si>
    <t># of Pixels</t>
  </si>
  <si>
    <t>Min. Value (Int)</t>
  </si>
  <si>
    <t>Max. Value (Int)</t>
  </si>
  <si>
    <t>Mean Value (Int)</t>
  </si>
  <si>
    <t>Std. Dev.</t>
  </si>
  <si>
    <t>Area (mm2)</t>
  </si>
  <si>
    <t>U1</t>
  </si>
  <si>
    <t>Unknown</t>
  </si>
  <si>
    <t>N/A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</si>
  <si>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</si>
  <si>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</si>
  <si>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</si>
  <si>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</si>
  <si>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</si>
  <si>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</si>
  <si>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</si>
  <si>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</si>
  <si>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</si>
  <si>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</si>
  <si>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</si>
  <si>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</si>
  <si>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</si>
  <si>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</si>
  <si>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</si>
  <si>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</si>
  <si>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</si>
  <si>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</si>
  <si>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</si>
  <si>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</si>
  <si>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</si>
  <si>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</si>
  <si>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</si>
  <si>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1-8: NudE.1 WT 0 x NAD</t>
  </si>
  <si>
    <t>9-16: NudE.1 WT 700 x NAD</t>
  </si>
  <si>
    <t>17-24: NudE.1 WT 1500 x NAD</t>
  </si>
  <si>
    <t>Norm. intensities</t>
  </si>
  <si>
    <t>2023-05-10_NAD_spike-in_D-F_6s</t>
  </si>
  <si>
    <t>1-8: NudC WT 0 x NAD</t>
  </si>
  <si>
    <t>9-16: NudC WT 700 x NAD</t>
  </si>
  <si>
    <t>17-24: NudC WT 1500 x NAD</t>
  </si>
  <si>
    <t>2023-05-25_kinetic_NudE.1-vs-NudC-3rd-time(NudE.1)</t>
  </si>
  <si>
    <t>2023-05-25_kinetic_NudE.1-vs-NudC-3rd-time-(NudC)</t>
  </si>
  <si>
    <t>2023-05-19_NudC_NAD_spike-in_R2_2s</t>
  </si>
  <si>
    <t>2023-05-19_NudEl_NAD-spike-in_R2_2s</t>
  </si>
  <si>
    <t>Protein</t>
  </si>
  <si>
    <t>NAD</t>
  </si>
  <si>
    <t>R1</t>
  </si>
  <si>
    <t>R2</t>
  </si>
  <si>
    <t>R3</t>
  </si>
  <si>
    <t>NudE.1</t>
  </si>
  <si>
    <t>NudC</t>
  </si>
  <si>
    <t>0xNAD</t>
  </si>
  <si>
    <t>700xNAD</t>
  </si>
  <si>
    <t>1500xNAD</t>
  </si>
  <si>
    <t>Mean</t>
  </si>
  <si>
    <t>SD</t>
  </si>
  <si>
    <t>Time</t>
  </si>
  <si>
    <t>2023-06-12_NAD_spike-in_R6_NudEl_quantified</t>
  </si>
  <si>
    <t>2023-06-12_NAD-spike-in_R6_NudC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</si>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</sst>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  <xf numFmtId="0" fontId="0" fillId="0" borderId="0" xfId="0"/>
    <xf numFmtId="4" fontId="0" fillId="0" borderId="0" xfId="0" applyNumberForma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P8" sqref="P8"/>
    </sheetView>
  </sheetViews>
  <sheetFormatPr defaultRowHeight="15" x14ac:dyDescent="0.25"/>
  <cols>
    <col min="5" max="5" width="19.7109375" customWidth="1"/>
    <col min="14" max="14" width="12.140625" customWidth="1"/>
  </cols>
  <sheetData>
    <row r="1" spans="1:16" x14ac:dyDescent="0.25">
      <c r="A1" s="2" t="s">
        <v>0</v>
      </c>
    </row>
    <row r="3" spans="1:16" x14ac:dyDescent="0.25">
      <c r="A3" t="s">
        <v>41</v>
      </c>
    </row>
    <row r="4" spans="1:16" x14ac:dyDescent="0.25">
      <c r="A4" t="s">
        <v>42</v>
      </c>
    </row>
    <row r="5" spans="1:16" x14ac:dyDescent="0.25">
      <c r="A5" t="s">
        <v>43</v>
      </c>
    </row>
    <row r="7" spans="1:16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P7" t="s">
        <v>44</v>
      </c>
    </row>
    <row r="8" spans="1:16" x14ac:dyDescent="0.25">
      <c r="A8">
        <v>1</v>
      </c>
      <c r="B8" t="s">
        <v>15</v>
      </c>
      <c r="C8" t="s">
        <v>16</v>
      </c>
      <c r="D8" s="1">
        <v>6111688</v>
      </c>
      <c r="E8" s="1">
        <v>3943645</v>
      </c>
      <c r="F8">
        <v>768.26470600000005</v>
      </c>
      <c r="G8" t="s">
        <v>17</v>
      </c>
      <c r="H8" t="s">
        <v>17</v>
      </c>
      <c r="I8">
        <v>2822</v>
      </c>
      <c r="J8">
        <v>366</v>
      </c>
      <c r="K8" s="1">
        <v>8547</v>
      </c>
      <c r="L8" s="1">
        <v>2165.7292699999998</v>
      </c>
      <c r="M8" s="1">
        <v>1862.9379260000001</v>
      </c>
      <c r="N8">
        <v>16.456225</v>
      </c>
      <c r="P8">
        <f>E8/3943645</f>
        <v>1</v>
      </c>
    </row>
    <row r="9" spans="1:16" x14ac:dyDescent="0.25">
      <c r="A9">
        <v>2</v>
      </c>
      <c r="B9" t="s">
        <v>18</v>
      </c>
      <c r="C9" t="s">
        <v>16</v>
      </c>
      <c r="D9" s="1">
        <v>5319625</v>
      </c>
      <c r="E9" s="1">
        <v>3531235.8571429998</v>
      </c>
      <c r="F9">
        <v>633.73109199999999</v>
      </c>
      <c r="G9" t="s">
        <v>17</v>
      </c>
      <c r="H9" t="s">
        <v>17</v>
      </c>
      <c r="I9">
        <v>2822</v>
      </c>
      <c r="J9">
        <v>334</v>
      </c>
      <c r="K9" s="1">
        <v>8197</v>
      </c>
      <c r="L9" s="1">
        <v>1885.054926</v>
      </c>
      <c r="M9" s="1">
        <v>1751.5457590000001</v>
      </c>
      <c r="N9">
        <v>16.456225</v>
      </c>
      <c r="P9">
        <f t="shared" ref="P9:P15" si="0">E9/3943645</f>
        <v>0.89542437444115786</v>
      </c>
    </row>
    <row r="10" spans="1:16" x14ac:dyDescent="0.25">
      <c r="A10">
        <v>3</v>
      </c>
      <c r="B10" t="s">
        <v>19</v>
      </c>
      <c r="C10" t="s">
        <v>16</v>
      </c>
      <c r="D10" s="1">
        <v>3947383</v>
      </c>
      <c r="E10" s="1">
        <v>2398508.1428570002</v>
      </c>
      <c r="F10">
        <v>548.85714299999995</v>
      </c>
      <c r="G10" t="s">
        <v>17</v>
      </c>
      <c r="H10" t="s">
        <v>17</v>
      </c>
      <c r="I10">
        <v>2822</v>
      </c>
      <c r="J10">
        <v>318</v>
      </c>
      <c r="K10" s="1">
        <v>5072</v>
      </c>
      <c r="L10" s="1">
        <v>1398.7891569999999</v>
      </c>
      <c r="M10" s="1">
        <v>1063.117947</v>
      </c>
      <c r="N10">
        <v>16.456225</v>
      </c>
      <c r="P10">
        <f t="shared" si="0"/>
        <v>0.60819575363832201</v>
      </c>
    </row>
    <row r="11" spans="1:16" x14ac:dyDescent="0.25">
      <c r="A11">
        <v>4</v>
      </c>
      <c r="B11" t="s">
        <v>20</v>
      </c>
      <c r="C11" t="s">
        <v>16</v>
      </c>
      <c r="D11" s="1">
        <v>3111568</v>
      </c>
      <c r="E11" s="1">
        <v>1717049.428571</v>
      </c>
      <c r="F11">
        <v>494.15966400000002</v>
      </c>
      <c r="G11" t="s">
        <v>17</v>
      </c>
      <c r="H11" t="s">
        <v>17</v>
      </c>
      <c r="I11">
        <v>2822</v>
      </c>
      <c r="J11">
        <v>311</v>
      </c>
      <c r="K11" s="1">
        <v>4074</v>
      </c>
      <c r="L11" s="1">
        <v>1102.6109140000001</v>
      </c>
      <c r="M11">
        <v>835.82128299999999</v>
      </c>
      <c r="N11">
        <v>16.456225</v>
      </c>
      <c r="P11">
        <f t="shared" si="0"/>
        <v>0.43539655029065749</v>
      </c>
    </row>
    <row r="12" spans="1:16" x14ac:dyDescent="0.25">
      <c r="A12">
        <v>5</v>
      </c>
      <c r="B12" t="s">
        <v>21</v>
      </c>
      <c r="C12" t="s">
        <v>16</v>
      </c>
      <c r="D12" s="1">
        <v>2274178</v>
      </c>
      <c r="E12" s="1">
        <v>961355.142857</v>
      </c>
      <c r="F12">
        <v>465.21008399999999</v>
      </c>
      <c r="G12" t="s">
        <v>17</v>
      </c>
      <c r="H12" t="s">
        <v>17</v>
      </c>
      <c r="I12">
        <v>2822</v>
      </c>
      <c r="J12">
        <v>305</v>
      </c>
      <c r="K12" s="1">
        <v>2455</v>
      </c>
      <c r="L12">
        <v>805.87455699999998</v>
      </c>
      <c r="M12">
        <v>484.98033900000001</v>
      </c>
      <c r="N12">
        <v>16.456225</v>
      </c>
      <c r="P12">
        <f t="shared" si="0"/>
        <v>0.24377324603431597</v>
      </c>
    </row>
    <row r="13" spans="1:16" x14ac:dyDescent="0.25">
      <c r="A13">
        <v>6</v>
      </c>
      <c r="B13" t="s">
        <v>22</v>
      </c>
      <c r="C13" t="s">
        <v>16</v>
      </c>
      <c r="D13" s="1">
        <v>1604970</v>
      </c>
      <c r="E13" s="1">
        <v>338852.428571</v>
      </c>
      <c r="F13">
        <v>448.65966400000002</v>
      </c>
      <c r="G13" t="s">
        <v>17</v>
      </c>
      <c r="H13" t="s">
        <v>17</v>
      </c>
      <c r="I13">
        <v>2822</v>
      </c>
      <c r="J13">
        <v>299</v>
      </c>
      <c r="K13" s="1">
        <v>1275</v>
      </c>
      <c r="L13">
        <v>568.73494000000005</v>
      </c>
      <c r="M13">
        <v>229.58987200000001</v>
      </c>
      <c r="N13">
        <v>16.456225</v>
      </c>
      <c r="P13">
        <f t="shared" si="0"/>
        <v>8.5923664166272576E-2</v>
      </c>
    </row>
    <row r="14" spans="1:16" x14ac:dyDescent="0.25">
      <c r="A14">
        <v>7</v>
      </c>
      <c r="B14" t="s">
        <v>23</v>
      </c>
      <c r="C14" t="s">
        <v>16</v>
      </c>
      <c r="D14" s="1">
        <v>2989879</v>
      </c>
      <c r="E14" s="1">
        <v>1499400.571429</v>
      </c>
      <c r="F14">
        <v>528.16386599999998</v>
      </c>
      <c r="G14" t="s">
        <v>17</v>
      </c>
      <c r="H14" t="s">
        <v>17</v>
      </c>
      <c r="I14">
        <v>2822</v>
      </c>
      <c r="J14">
        <v>313</v>
      </c>
      <c r="K14" s="1">
        <v>3321</v>
      </c>
      <c r="L14" s="1">
        <v>1059.4893689999999</v>
      </c>
      <c r="M14">
        <v>715.84436800000003</v>
      </c>
      <c r="N14">
        <v>16.456225</v>
      </c>
      <c r="P14" s="3">
        <f t="shared" si="0"/>
        <v>0.38020678114510814</v>
      </c>
    </row>
    <row r="15" spans="1:16" x14ac:dyDescent="0.25">
      <c r="A15">
        <v>8</v>
      </c>
      <c r="B15" t="s">
        <v>24</v>
      </c>
      <c r="C15" t="s">
        <v>16</v>
      </c>
      <c r="D15" s="1">
        <v>1520630</v>
      </c>
      <c r="E15" s="1">
        <v>281653.428571</v>
      </c>
      <c r="F15">
        <v>439.04201699999999</v>
      </c>
      <c r="G15" t="s">
        <v>17</v>
      </c>
      <c r="H15" t="s">
        <v>17</v>
      </c>
      <c r="I15">
        <v>2822</v>
      </c>
      <c r="J15">
        <v>296</v>
      </c>
      <c r="K15" s="1">
        <v>1005</v>
      </c>
      <c r="L15">
        <v>538.84833500000002</v>
      </c>
      <c r="M15">
        <v>169.95332200000001</v>
      </c>
      <c r="N15">
        <v>16.456225</v>
      </c>
      <c r="P15">
        <f t="shared" si="0"/>
        <v>7.141956960400847E-2</v>
      </c>
    </row>
    <row r="16" spans="1:16" x14ac:dyDescent="0.25">
      <c r="A16">
        <v>9</v>
      </c>
      <c r="B16" t="s">
        <v>25</v>
      </c>
      <c r="C16" t="s">
        <v>16</v>
      </c>
      <c r="D16" s="1">
        <v>7559726</v>
      </c>
      <c r="E16" s="1">
        <v>5210660</v>
      </c>
      <c r="F16">
        <v>832.41176499999995</v>
      </c>
      <c r="G16" t="s">
        <v>17</v>
      </c>
      <c r="H16" t="s">
        <v>17</v>
      </c>
      <c r="I16">
        <v>2822</v>
      </c>
      <c r="J16">
        <v>357</v>
      </c>
      <c r="K16" s="1">
        <v>11113</v>
      </c>
      <c r="L16" s="1">
        <v>2678.8540039999998</v>
      </c>
      <c r="M16" s="1">
        <v>2399.193342</v>
      </c>
      <c r="N16">
        <v>16.456225</v>
      </c>
      <c r="P16">
        <f>E16/5210660</f>
        <v>1</v>
      </c>
    </row>
    <row r="17" spans="1:16" x14ac:dyDescent="0.25">
      <c r="A17">
        <v>10</v>
      </c>
      <c r="B17" t="s">
        <v>26</v>
      </c>
      <c r="C17" t="s">
        <v>16</v>
      </c>
      <c r="D17" s="1">
        <v>6320875</v>
      </c>
      <c r="E17" s="1">
        <v>4359241.1428570002</v>
      </c>
      <c r="F17">
        <v>695.121849</v>
      </c>
      <c r="G17" t="s">
        <v>17</v>
      </c>
      <c r="H17" t="s">
        <v>17</v>
      </c>
      <c r="I17">
        <v>2822</v>
      </c>
      <c r="J17">
        <v>334</v>
      </c>
      <c r="K17" s="1">
        <v>9151</v>
      </c>
      <c r="L17" s="1">
        <v>2239.8564849999998</v>
      </c>
      <c r="M17" s="1">
        <v>2030.8737839999999</v>
      </c>
      <c r="N17">
        <v>16.456225</v>
      </c>
      <c r="P17">
        <f t="shared" ref="P17:P23" si="1">E17/5210660</f>
        <v>0.83660057322047499</v>
      </c>
    </row>
    <row r="18" spans="1:16" x14ac:dyDescent="0.25">
      <c r="A18">
        <v>11</v>
      </c>
      <c r="B18" t="s">
        <v>27</v>
      </c>
      <c r="C18" t="s">
        <v>16</v>
      </c>
      <c r="D18" s="1">
        <v>4930561</v>
      </c>
      <c r="E18" s="1">
        <v>3224258.8571429998</v>
      </c>
      <c r="F18">
        <v>604.64285700000005</v>
      </c>
      <c r="G18" t="s">
        <v>17</v>
      </c>
      <c r="H18" t="s">
        <v>17</v>
      </c>
      <c r="I18">
        <v>2822</v>
      </c>
      <c r="J18">
        <v>346</v>
      </c>
      <c r="K18" s="1">
        <v>5797</v>
      </c>
      <c r="L18" s="1">
        <v>1747.186747</v>
      </c>
      <c r="M18" s="1">
        <v>1269.2028769999999</v>
      </c>
      <c r="N18">
        <v>16.456225</v>
      </c>
      <c r="P18">
        <f t="shared" si="1"/>
        <v>0.61878127859868037</v>
      </c>
    </row>
    <row r="19" spans="1:16" x14ac:dyDescent="0.25">
      <c r="A19">
        <v>12</v>
      </c>
      <c r="B19" t="s">
        <v>28</v>
      </c>
      <c r="C19" t="s">
        <v>16</v>
      </c>
      <c r="D19" s="1">
        <v>3684909</v>
      </c>
      <c r="E19" s="1">
        <v>1914270</v>
      </c>
      <c r="F19">
        <v>627.44117600000004</v>
      </c>
      <c r="G19" t="s">
        <v>17</v>
      </c>
      <c r="H19" t="s">
        <v>17</v>
      </c>
      <c r="I19">
        <v>2822</v>
      </c>
      <c r="J19">
        <v>301</v>
      </c>
      <c r="K19" s="1">
        <v>4551</v>
      </c>
      <c r="L19" s="1">
        <v>1305.779235</v>
      </c>
      <c r="M19" s="1">
        <v>1068.95012</v>
      </c>
      <c r="N19">
        <v>16.456225</v>
      </c>
      <c r="P19">
        <f t="shared" si="1"/>
        <v>0.36737572591571893</v>
      </c>
    </row>
    <row r="20" spans="1:16" x14ac:dyDescent="0.25">
      <c r="A20">
        <v>13</v>
      </c>
      <c r="B20" t="s">
        <v>29</v>
      </c>
      <c r="C20" t="s">
        <v>16</v>
      </c>
      <c r="D20" s="1">
        <v>2632230</v>
      </c>
      <c r="E20" s="1">
        <v>1092734.142857</v>
      </c>
      <c r="F20">
        <v>545.53361299999995</v>
      </c>
      <c r="G20" t="s">
        <v>17</v>
      </c>
      <c r="H20" t="s">
        <v>17</v>
      </c>
      <c r="I20">
        <v>2822</v>
      </c>
      <c r="J20">
        <v>285</v>
      </c>
      <c r="K20" s="1">
        <v>2644</v>
      </c>
      <c r="L20">
        <v>932.75336600000003</v>
      </c>
      <c r="M20">
        <v>584.24173199999996</v>
      </c>
      <c r="N20">
        <v>16.456225</v>
      </c>
      <c r="P20">
        <f t="shared" si="1"/>
        <v>0.20971127320857627</v>
      </c>
    </row>
    <row r="21" spans="1:16" x14ac:dyDescent="0.25">
      <c r="A21">
        <v>14</v>
      </c>
      <c r="B21" t="s">
        <v>30</v>
      </c>
      <c r="C21" t="s">
        <v>16</v>
      </c>
      <c r="D21" s="1">
        <v>1785125</v>
      </c>
      <c r="E21" s="1">
        <v>471993.857143</v>
      </c>
      <c r="F21">
        <v>465.31932799999998</v>
      </c>
      <c r="G21" t="s">
        <v>17</v>
      </c>
      <c r="H21" t="s">
        <v>17</v>
      </c>
      <c r="I21">
        <v>2822</v>
      </c>
      <c r="J21">
        <v>280</v>
      </c>
      <c r="K21" s="1">
        <v>1568</v>
      </c>
      <c r="L21">
        <v>632.57441500000004</v>
      </c>
      <c r="M21">
        <v>286.69978500000002</v>
      </c>
      <c r="N21">
        <v>16.456225</v>
      </c>
      <c r="P21">
        <f t="shared" si="1"/>
        <v>9.0582355621552743E-2</v>
      </c>
    </row>
    <row r="22" spans="1:16" x14ac:dyDescent="0.25">
      <c r="A22">
        <v>15</v>
      </c>
      <c r="B22" t="s">
        <v>31</v>
      </c>
      <c r="C22" t="s">
        <v>16</v>
      </c>
      <c r="D22" s="1">
        <v>1530468</v>
      </c>
      <c r="E22" s="1">
        <v>250560.571429</v>
      </c>
      <c r="F22">
        <v>453.54621800000001</v>
      </c>
      <c r="G22" t="s">
        <v>17</v>
      </c>
      <c r="H22" t="s">
        <v>17</v>
      </c>
      <c r="I22">
        <v>2822</v>
      </c>
      <c r="J22">
        <v>280</v>
      </c>
      <c r="K22" s="1">
        <v>1157</v>
      </c>
      <c r="L22">
        <v>542.33451500000001</v>
      </c>
      <c r="M22">
        <v>204.428843</v>
      </c>
      <c r="N22">
        <v>16.456225</v>
      </c>
      <c r="P22">
        <f t="shared" si="1"/>
        <v>4.8086148670034121E-2</v>
      </c>
    </row>
    <row r="23" spans="1:16" x14ac:dyDescent="0.25">
      <c r="A23">
        <v>16</v>
      </c>
      <c r="B23" t="s">
        <v>32</v>
      </c>
      <c r="C23" t="s">
        <v>16</v>
      </c>
      <c r="D23" s="1">
        <v>1360630</v>
      </c>
      <c r="E23" s="1">
        <v>28563</v>
      </c>
      <c r="F23">
        <v>472.02941199999998</v>
      </c>
      <c r="G23" t="s">
        <v>17</v>
      </c>
      <c r="H23" t="s">
        <v>17</v>
      </c>
      <c r="I23">
        <v>2822</v>
      </c>
      <c r="J23">
        <v>275</v>
      </c>
      <c r="K23" s="1">
        <v>1079</v>
      </c>
      <c r="L23">
        <v>482.15095700000001</v>
      </c>
      <c r="M23">
        <v>167.68810199999999</v>
      </c>
      <c r="N23">
        <v>16.456225</v>
      </c>
      <c r="P23">
        <f t="shared" si="1"/>
        <v>5.4816472385455966E-3</v>
      </c>
    </row>
    <row r="24" spans="1:16" x14ac:dyDescent="0.25">
      <c r="A24">
        <v>17</v>
      </c>
      <c r="B24" t="s">
        <v>33</v>
      </c>
      <c r="C24" t="s">
        <v>16</v>
      </c>
      <c r="D24" s="1">
        <v>7128542</v>
      </c>
      <c r="E24" s="1">
        <v>5104681.8571429998</v>
      </c>
      <c r="F24">
        <v>717.17226900000003</v>
      </c>
      <c r="G24" t="s">
        <v>17</v>
      </c>
      <c r="H24" t="s">
        <v>17</v>
      </c>
      <c r="I24">
        <v>2822</v>
      </c>
      <c r="J24">
        <v>289</v>
      </c>
      <c r="K24" s="1">
        <v>9164</v>
      </c>
      <c r="L24" s="1">
        <v>2526.0602410000001</v>
      </c>
      <c r="M24" s="1">
        <v>2111.6775200000002</v>
      </c>
      <c r="N24">
        <v>16.456225</v>
      </c>
      <c r="P24">
        <f>E24/5104681.86</f>
        <v>0.99999999944031759</v>
      </c>
    </row>
    <row r="25" spans="1:16" x14ac:dyDescent="0.25">
      <c r="A25">
        <v>18</v>
      </c>
      <c r="B25" t="s">
        <v>34</v>
      </c>
      <c r="C25" t="s">
        <v>16</v>
      </c>
      <c r="D25" s="1">
        <v>6432862</v>
      </c>
      <c r="E25" s="1">
        <v>4567555.5714290002</v>
      </c>
      <c r="F25">
        <v>660.98739499999999</v>
      </c>
      <c r="G25" t="s">
        <v>17</v>
      </c>
      <c r="H25" t="s">
        <v>17</v>
      </c>
      <c r="I25">
        <v>2822</v>
      </c>
      <c r="J25">
        <v>272</v>
      </c>
      <c r="K25" s="1">
        <v>9839</v>
      </c>
      <c r="L25" s="1">
        <v>2279.540043</v>
      </c>
      <c r="M25" s="1">
        <v>2171.8107799999998</v>
      </c>
      <c r="N25">
        <v>16.456225</v>
      </c>
      <c r="P25">
        <f t="shared" ref="P25:P31" si="2">E25/5104681.86</f>
        <v>0.89477771518341009</v>
      </c>
    </row>
    <row r="26" spans="1:16" x14ac:dyDescent="0.25">
      <c r="A26">
        <v>19</v>
      </c>
      <c r="B26" t="s">
        <v>35</v>
      </c>
      <c r="C26" t="s">
        <v>16</v>
      </c>
      <c r="D26" s="1">
        <v>5633725</v>
      </c>
      <c r="E26" s="1">
        <v>3711136.714286</v>
      </c>
      <c r="F26">
        <v>681.28571399999998</v>
      </c>
      <c r="G26" t="s">
        <v>17</v>
      </c>
      <c r="H26" t="s">
        <v>17</v>
      </c>
      <c r="I26">
        <v>2822</v>
      </c>
      <c r="J26">
        <v>285</v>
      </c>
      <c r="K26" s="1">
        <v>6799</v>
      </c>
      <c r="L26" s="1">
        <v>1996.3589649999999</v>
      </c>
      <c r="M26" s="1">
        <v>1577.437721</v>
      </c>
      <c r="N26">
        <v>16.456225</v>
      </c>
      <c r="P26">
        <f t="shared" si="2"/>
        <v>0.72700646505833366</v>
      </c>
    </row>
    <row r="27" spans="1:16" x14ac:dyDescent="0.25">
      <c r="A27">
        <v>20</v>
      </c>
      <c r="B27" t="s">
        <v>36</v>
      </c>
      <c r="C27" t="s">
        <v>16</v>
      </c>
      <c r="D27" s="1">
        <v>4920758</v>
      </c>
      <c r="E27" s="1">
        <v>3414877.1428570002</v>
      </c>
      <c r="F27">
        <v>533.621849</v>
      </c>
      <c r="G27" t="s">
        <v>17</v>
      </c>
      <c r="H27" t="s">
        <v>17</v>
      </c>
      <c r="I27">
        <v>2822</v>
      </c>
      <c r="J27">
        <v>288</v>
      </c>
      <c r="K27" s="1">
        <v>7324</v>
      </c>
      <c r="L27" s="1">
        <v>1743.71297</v>
      </c>
      <c r="M27" s="1">
        <v>1641.532093</v>
      </c>
      <c r="N27">
        <v>16.456225</v>
      </c>
      <c r="P27">
        <f t="shared" si="2"/>
        <v>0.66896963150941591</v>
      </c>
    </row>
    <row r="28" spans="1:16" x14ac:dyDescent="0.25">
      <c r="A28">
        <v>21</v>
      </c>
      <c r="B28" t="s">
        <v>37</v>
      </c>
      <c r="C28" t="s">
        <v>16</v>
      </c>
      <c r="D28" s="1">
        <v>4176565</v>
      </c>
      <c r="E28" s="1">
        <v>2653894.4285710002</v>
      </c>
      <c r="F28">
        <v>539.57142899999997</v>
      </c>
      <c r="G28" t="s">
        <v>17</v>
      </c>
      <c r="H28" t="s">
        <v>17</v>
      </c>
      <c r="I28">
        <v>2822</v>
      </c>
      <c r="J28">
        <v>275</v>
      </c>
      <c r="K28" s="1">
        <v>7164</v>
      </c>
      <c r="L28" s="1">
        <v>1480.0017720000001</v>
      </c>
      <c r="M28" s="1">
        <v>1529.469274</v>
      </c>
      <c r="N28">
        <v>16.456225</v>
      </c>
      <c r="P28">
        <f t="shared" si="2"/>
        <v>0.51989418760192829</v>
      </c>
    </row>
    <row r="29" spans="1:16" x14ac:dyDescent="0.25">
      <c r="A29">
        <v>22</v>
      </c>
      <c r="B29" t="s">
        <v>38</v>
      </c>
      <c r="C29" t="s">
        <v>16</v>
      </c>
      <c r="D29" s="1">
        <v>2740198</v>
      </c>
      <c r="E29" s="1">
        <v>1266829.428571</v>
      </c>
      <c r="F29">
        <v>522.10083999999995</v>
      </c>
      <c r="G29" t="s">
        <v>17</v>
      </c>
      <c r="H29" t="s">
        <v>17</v>
      </c>
      <c r="I29">
        <v>2822</v>
      </c>
      <c r="J29">
        <v>298</v>
      </c>
      <c r="K29" s="1">
        <v>2716</v>
      </c>
      <c r="L29">
        <v>971.01275699999997</v>
      </c>
      <c r="M29">
        <v>572.34684800000002</v>
      </c>
      <c r="N29">
        <v>16.456225</v>
      </c>
      <c r="P29">
        <f t="shared" si="2"/>
        <v>0.24817010409557627</v>
      </c>
    </row>
    <row r="30" spans="1:16" x14ac:dyDescent="0.25">
      <c r="A30">
        <v>23</v>
      </c>
      <c r="B30" t="s">
        <v>39</v>
      </c>
      <c r="C30" t="s">
        <v>16</v>
      </c>
      <c r="D30" s="1">
        <v>2230457</v>
      </c>
      <c r="E30" s="1">
        <v>931839</v>
      </c>
      <c r="F30">
        <v>460.17647099999999</v>
      </c>
      <c r="G30" t="s">
        <v>17</v>
      </c>
      <c r="H30" t="s">
        <v>17</v>
      </c>
      <c r="I30">
        <v>2822</v>
      </c>
      <c r="J30">
        <v>259</v>
      </c>
      <c r="K30" s="1">
        <v>2312</v>
      </c>
      <c r="L30">
        <v>790.38164400000005</v>
      </c>
      <c r="M30">
        <v>474.90691800000002</v>
      </c>
      <c r="N30">
        <v>16.456225</v>
      </c>
      <c r="P30">
        <f t="shared" si="2"/>
        <v>0.18254595008199001</v>
      </c>
    </row>
    <row r="31" spans="1:16" x14ac:dyDescent="0.25">
      <c r="A31">
        <v>24</v>
      </c>
      <c r="B31" t="s">
        <v>40</v>
      </c>
      <c r="C31" t="s">
        <v>16</v>
      </c>
      <c r="D31" s="1">
        <v>2165195</v>
      </c>
      <c r="E31" s="1">
        <v>855194.142857</v>
      </c>
      <c r="F31">
        <v>464.21008399999999</v>
      </c>
      <c r="G31" t="s">
        <v>17</v>
      </c>
      <c r="H31" t="s">
        <v>17</v>
      </c>
      <c r="I31">
        <v>2822</v>
      </c>
      <c r="J31">
        <v>285</v>
      </c>
      <c r="K31" s="1">
        <v>2078</v>
      </c>
      <c r="L31">
        <v>767.255493</v>
      </c>
      <c r="M31">
        <v>418.13698699999998</v>
      </c>
      <c r="N31">
        <v>16.456225</v>
      </c>
      <c r="P31">
        <f t="shared" si="2"/>
        <v>0.16753133031820322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P8" sqref="P8:P31"/>
    </sheetView>
  </sheetViews>
  <sheetFormatPr defaultRowHeight="15" x14ac:dyDescent="0.25"/>
  <cols>
    <col min="5" max="5" width="18" customWidth="1"/>
    <col min="16" max="16" width="17.85546875" customWidth="1"/>
  </cols>
  <sheetData>
    <row r="1" spans="1:16" x14ac:dyDescent="0.25">
      <c r="A1" s="2" t="s">
        <v>45</v>
      </c>
    </row>
    <row r="3" spans="1:16" x14ac:dyDescent="0.25">
      <c r="A3" t="s">
        <v>46</v>
      </c>
    </row>
    <row r="4" spans="1:16" x14ac:dyDescent="0.25">
      <c r="A4" t="s">
        <v>47</v>
      </c>
    </row>
    <row r="5" spans="1:16" x14ac:dyDescent="0.25">
      <c r="A5" t="s">
        <v>48</v>
      </c>
    </row>
    <row r="7" spans="1:16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P7" t="s">
        <v>44</v>
      </c>
    </row>
    <row r="8" spans="1:16" x14ac:dyDescent="0.25">
      <c r="A8">
        <v>1</v>
      </c>
      <c r="B8" t="s">
        <v>15</v>
      </c>
      <c r="C8" t="s">
        <v>16</v>
      </c>
      <c r="D8" s="1">
        <v>5739268</v>
      </c>
      <c r="E8" s="1">
        <v>3461333</v>
      </c>
      <c r="F8">
        <v>807.20588199999997</v>
      </c>
      <c r="G8" t="s">
        <v>17</v>
      </c>
      <c r="H8" t="s">
        <v>17</v>
      </c>
      <c r="I8">
        <v>2822</v>
      </c>
      <c r="J8">
        <v>418</v>
      </c>
      <c r="K8" s="1">
        <v>5812</v>
      </c>
      <c r="L8" s="1">
        <v>2033.76</v>
      </c>
      <c r="M8" s="1">
        <v>1317.09</v>
      </c>
      <c r="N8">
        <v>16.456225</v>
      </c>
      <c r="P8">
        <f>E8/3461333</f>
        <v>1</v>
      </c>
    </row>
    <row r="9" spans="1:16" x14ac:dyDescent="0.25">
      <c r="A9">
        <v>2</v>
      </c>
      <c r="B9" t="s">
        <v>18</v>
      </c>
      <c r="C9" t="s">
        <v>16</v>
      </c>
      <c r="D9" s="1">
        <v>5965782</v>
      </c>
      <c r="E9" s="1">
        <v>3926839.57</v>
      </c>
      <c r="F9">
        <v>722.51680699999997</v>
      </c>
      <c r="G9" t="s">
        <v>17</v>
      </c>
      <c r="H9" t="s">
        <v>17</v>
      </c>
      <c r="I9">
        <v>2822</v>
      </c>
      <c r="J9">
        <v>371</v>
      </c>
      <c r="K9" s="1">
        <v>6658</v>
      </c>
      <c r="L9" s="1">
        <v>2114.0300000000002</v>
      </c>
      <c r="M9" s="1">
        <v>1523.56</v>
      </c>
      <c r="N9">
        <v>16.456225</v>
      </c>
      <c r="P9">
        <f t="shared" ref="P9:P15" si="0">E9/3461333</f>
        <v>1.1344876583674555</v>
      </c>
    </row>
    <row r="10" spans="1:16" x14ac:dyDescent="0.25">
      <c r="A10">
        <v>3</v>
      </c>
      <c r="B10" t="s">
        <v>19</v>
      </c>
      <c r="C10" t="s">
        <v>16</v>
      </c>
      <c r="D10" s="1">
        <v>5407252</v>
      </c>
      <c r="E10" s="1">
        <v>3488671.43</v>
      </c>
      <c r="F10">
        <v>679.86554599999999</v>
      </c>
      <c r="G10" t="s">
        <v>17</v>
      </c>
      <c r="H10" t="s">
        <v>17</v>
      </c>
      <c r="I10">
        <v>2822</v>
      </c>
      <c r="J10">
        <v>376</v>
      </c>
      <c r="K10" s="1">
        <v>5603</v>
      </c>
      <c r="L10" s="1">
        <v>1916.11</v>
      </c>
      <c r="M10" s="1">
        <v>1284.18</v>
      </c>
      <c r="N10">
        <v>16.456225</v>
      </c>
      <c r="P10">
        <f t="shared" si="0"/>
        <v>1.0078982374709398</v>
      </c>
    </row>
    <row r="11" spans="1:16" x14ac:dyDescent="0.25">
      <c r="A11">
        <v>4</v>
      </c>
      <c r="B11" t="s">
        <v>20</v>
      </c>
      <c r="C11" t="s">
        <v>16</v>
      </c>
      <c r="D11" s="1">
        <v>5172152</v>
      </c>
      <c r="E11" s="1">
        <v>3369475</v>
      </c>
      <c r="F11">
        <v>638.79411800000003</v>
      </c>
      <c r="G11" t="s">
        <v>17</v>
      </c>
      <c r="H11" t="s">
        <v>17</v>
      </c>
      <c r="I11">
        <v>2822</v>
      </c>
      <c r="J11">
        <v>375</v>
      </c>
      <c r="K11" s="1">
        <v>5559</v>
      </c>
      <c r="L11" s="1">
        <v>1832.8</v>
      </c>
      <c r="M11" s="1">
        <v>1306.53</v>
      </c>
      <c r="N11">
        <v>16.456225</v>
      </c>
      <c r="P11">
        <f t="shared" si="0"/>
        <v>0.97346166924707911</v>
      </c>
    </row>
    <row r="12" spans="1:16" x14ac:dyDescent="0.25">
      <c r="A12">
        <v>5</v>
      </c>
      <c r="B12" t="s">
        <v>21</v>
      </c>
      <c r="C12" t="s">
        <v>16</v>
      </c>
      <c r="D12" s="1">
        <v>4848772</v>
      </c>
      <c r="E12" s="1">
        <v>3087369.71</v>
      </c>
      <c r="F12">
        <v>624.16806699999995</v>
      </c>
      <c r="G12" t="s">
        <v>17</v>
      </c>
      <c r="H12" t="s">
        <v>17</v>
      </c>
      <c r="I12">
        <v>2822</v>
      </c>
      <c r="J12">
        <v>334</v>
      </c>
      <c r="K12" s="1">
        <v>5189</v>
      </c>
      <c r="L12" s="1">
        <v>1718.2</v>
      </c>
      <c r="M12" s="1">
        <v>1180.1099999999999</v>
      </c>
      <c r="N12">
        <v>16.456225</v>
      </c>
      <c r="P12">
        <f t="shared" si="0"/>
        <v>0.89195974787747956</v>
      </c>
    </row>
    <row r="13" spans="1:16" x14ac:dyDescent="0.25">
      <c r="A13">
        <v>6</v>
      </c>
      <c r="B13" t="s">
        <v>22</v>
      </c>
      <c r="C13" t="s">
        <v>16</v>
      </c>
      <c r="D13" s="1">
        <v>3666190</v>
      </c>
      <c r="E13" s="1">
        <v>2058041.29</v>
      </c>
      <c r="F13">
        <v>569.86134500000003</v>
      </c>
      <c r="G13" t="s">
        <v>17</v>
      </c>
      <c r="H13" t="s">
        <v>17</v>
      </c>
      <c r="I13">
        <v>2822</v>
      </c>
      <c r="J13">
        <v>334</v>
      </c>
      <c r="K13" s="1">
        <v>3556</v>
      </c>
      <c r="L13" s="1">
        <v>1299.1500000000001</v>
      </c>
      <c r="M13">
        <v>776.19197899999995</v>
      </c>
      <c r="N13">
        <v>16.456225</v>
      </c>
      <c r="P13">
        <f t="shared" si="0"/>
        <v>0.59458055321461412</v>
      </c>
    </row>
    <row r="14" spans="1:16" x14ac:dyDescent="0.25">
      <c r="A14">
        <v>7</v>
      </c>
      <c r="B14" t="s">
        <v>23</v>
      </c>
      <c r="C14" t="s">
        <v>16</v>
      </c>
      <c r="D14" s="1">
        <v>2440627</v>
      </c>
      <c r="E14" s="1">
        <v>956717.43</v>
      </c>
      <c r="F14">
        <v>525.83613400000002</v>
      </c>
      <c r="G14" t="s">
        <v>17</v>
      </c>
      <c r="H14" t="s">
        <v>17</v>
      </c>
      <c r="I14">
        <v>2822</v>
      </c>
      <c r="J14">
        <v>333</v>
      </c>
      <c r="K14" s="1">
        <v>2029</v>
      </c>
      <c r="L14">
        <v>864.85719300000005</v>
      </c>
      <c r="M14">
        <v>407.49415399999998</v>
      </c>
      <c r="N14">
        <v>16.456225</v>
      </c>
      <c r="P14">
        <f t="shared" si="0"/>
        <v>0.27640144129443772</v>
      </c>
    </row>
    <row r="15" spans="1:16" x14ac:dyDescent="0.25">
      <c r="A15">
        <v>8</v>
      </c>
      <c r="B15" t="s">
        <v>24</v>
      </c>
      <c r="C15" t="s">
        <v>16</v>
      </c>
      <c r="D15" s="1">
        <v>1627740</v>
      </c>
      <c r="E15" s="1">
        <v>287977.71000000002</v>
      </c>
      <c r="F15">
        <v>474.756303</v>
      </c>
      <c r="G15" t="s">
        <v>17</v>
      </c>
      <c r="H15" t="s">
        <v>17</v>
      </c>
      <c r="I15">
        <v>2822</v>
      </c>
      <c r="J15">
        <v>312</v>
      </c>
      <c r="K15">
        <v>971</v>
      </c>
      <c r="L15">
        <v>576.80368499999997</v>
      </c>
      <c r="M15">
        <v>157.42988</v>
      </c>
      <c r="N15">
        <v>16.456225</v>
      </c>
      <c r="P15">
        <f t="shared" si="0"/>
        <v>8.3198498959793823E-2</v>
      </c>
    </row>
    <row r="16" spans="1:16" x14ac:dyDescent="0.25">
      <c r="A16">
        <v>9</v>
      </c>
      <c r="B16" t="s">
        <v>25</v>
      </c>
      <c r="C16" t="s">
        <v>16</v>
      </c>
      <c r="D16" s="1">
        <v>5877085</v>
      </c>
      <c r="E16" s="1">
        <v>3927189.71</v>
      </c>
      <c r="F16">
        <v>690.96218499999998</v>
      </c>
      <c r="G16" t="s">
        <v>17</v>
      </c>
      <c r="H16" t="s">
        <v>17</v>
      </c>
      <c r="I16">
        <v>2822</v>
      </c>
      <c r="J16">
        <v>342</v>
      </c>
      <c r="K16" s="1">
        <v>5582</v>
      </c>
      <c r="L16" s="1">
        <v>2082.6</v>
      </c>
      <c r="M16" s="1">
        <v>1349.58</v>
      </c>
      <c r="N16">
        <v>16.456225</v>
      </c>
      <c r="P16">
        <f>E16/3927189.71</f>
        <v>1</v>
      </c>
    </row>
    <row r="17" spans="1:16" x14ac:dyDescent="0.25">
      <c r="A17">
        <v>10</v>
      </c>
      <c r="B17" t="s">
        <v>26</v>
      </c>
      <c r="C17" t="s">
        <v>16</v>
      </c>
      <c r="D17" s="1">
        <v>5608203</v>
      </c>
      <c r="E17" s="1">
        <v>3773464.29</v>
      </c>
      <c r="F17">
        <v>650.15546200000006</v>
      </c>
      <c r="G17" t="s">
        <v>17</v>
      </c>
      <c r="H17" t="s">
        <v>17</v>
      </c>
      <c r="I17">
        <v>2822</v>
      </c>
      <c r="J17">
        <v>325</v>
      </c>
      <c r="K17" s="1">
        <v>6030</v>
      </c>
      <c r="L17" s="1">
        <v>1987.32</v>
      </c>
      <c r="M17" s="1">
        <v>1381.05</v>
      </c>
      <c r="N17">
        <v>16.456225</v>
      </c>
      <c r="P17">
        <f t="shared" ref="P17:P23" si="1">E17/3927189.71</f>
        <v>0.96085612579179425</v>
      </c>
    </row>
    <row r="18" spans="1:16" x14ac:dyDescent="0.25">
      <c r="A18">
        <v>11</v>
      </c>
      <c r="B18" t="s">
        <v>27</v>
      </c>
      <c r="C18" t="s">
        <v>16</v>
      </c>
      <c r="D18" s="1">
        <v>5330174</v>
      </c>
      <c r="E18" s="1">
        <v>3548258.86</v>
      </c>
      <c r="F18">
        <v>631.43697499999996</v>
      </c>
      <c r="G18" t="s">
        <v>17</v>
      </c>
      <c r="H18" t="s">
        <v>17</v>
      </c>
      <c r="I18">
        <v>2822</v>
      </c>
      <c r="J18">
        <v>314</v>
      </c>
      <c r="K18" s="1">
        <v>5435</v>
      </c>
      <c r="L18" s="1">
        <v>1888.79</v>
      </c>
      <c r="M18" s="1">
        <v>1235.3</v>
      </c>
      <c r="N18">
        <v>16.456225</v>
      </c>
      <c r="P18">
        <f t="shared" si="1"/>
        <v>0.9035109383600417</v>
      </c>
    </row>
    <row r="19" spans="1:16" x14ac:dyDescent="0.25">
      <c r="A19">
        <v>12</v>
      </c>
      <c r="B19" t="s">
        <v>28</v>
      </c>
      <c r="C19" t="s">
        <v>16</v>
      </c>
      <c r="D19" s="1">
        <v>5149427</v>
      </c>
      <c r="E19" s="1">
        <v>3348516.71</v>
      </c>
      <c r="F19">
        <v>638.16806699999995</v>
      </c>
      <c r="G19" t="s">
        <v>17</v>
      </c>
      <c r="H19" t="s">
        <v>17</v>
      </c>
      <c r="I19">
        <v>2822</v>
      </c>
      <c r="J19">
        <v>282</v>
      </c>
      <c r="K19" s="1">
        <v>4967</v>
      </c>
      <c r="L19" s="1">
        <v>1824.74</v>
      </c>
      <c r="M19" s="1">
        <v>1225.1500000000001</v>
      </c>
      <c r="N19">
        <v>16.456225</v>
      </c>
      <c r="P19">
        <f t="shared" si="1"/>
        <v>0.85264959354357239</v>
      </c>
    </row>
    <row r="20" spans="1:16" x14ac:dyDescent="0.25">
      <c r="A20">
        <v>13</v>
      </c>
      <c r="B20" t="s">
        <v>29</v>
      </c>
      <c r="C20" t="s">
        <v>16</v>
      </c>
      <c r="D20" s="1">
        <v>4624554</v>
      </c>
      <c r="E20" s="1">
        <v>2965988.71</v>
      </c>
      <c r="F20">
        <v>587.72689100000002</v>
      </c>
      <c r="G20" t="s">
        <v>17</v>
      </c>
      <c r="H20" t="s">
        <v>17</v>
      </c>
      <c r="I20">
        <v>2822</v>
      </c>
      <c r="J20">
        <v>274</v>
      </c>
      <c r="K20" s="1">
        <v>4492</v>
      </c>
      <c r="L20" s="1">
        <v>1638.75</v>
      </c>
      <c r="M20" s="1">
        <v>1035.46</v>
      </c>
      <c r="N20">
        <v>16.456225</v>
      </c>
      <c r="P20">
        <f t="shared" si="1"/>
        <v>0.7552445715692202</v>
      </c>
    </row>
    <row r="21" spans="1:16" x14ac:dyDescent="0.25">
      <c r="A21">
        <v>14</v>
      </c>
      <c r="B21" t="s">
        <v>30</v>
      </c>
      <c r="C21" t="s">
        <v>16</v>
      </c>
      <c r="D21" s="1">
        <v>3360654</v>
      </c>
      <c r="E21" s="1">
        <v>1890095.57</v>
      </c>
      <c r="F21">
        <v>521.10504200000003</v>
      </c>
      <c r="G21" t="s">
        <v>17</v>
      </c>
      <c r="H21" t="s">
        <v>17</v>
      </c>
      <c r="I21">
        <v>2822</v>
      </c>
      <c r="J21">
        <v>272</v>
      </c>
      <c r="K21" s="1">
        <v>3049</v>
      </c>
      <c r="L21" s="1">
        <v>1190.8800000000001</v>
      </c>
      <c r="M21">
        <v>686.88273400000003</v>
      </c>
      <c r="N21">
        <v>16.456225</v>
      </c>
      <c r="P21">
        <f t="shared" si="1"/>
        <v>0.48128450866204781</v>
      </c>
    </row>
    <row r="22" spans="1:16" x14ac:dyDescent="0.25">
      <c r="A22">
        <v>15</v>
      </c>
      <c r="B22" t="s">
        <v>31</v>
      </c>
      <c r="C22" t="s">
        <v>16</v>
      </c>
      <c r="D22" s="1">
        <v>2338628</v>
      </c>
      <c r="E22" s="1">
        <v>1037780.86</v>
      </c>
      <c r="F22">
        <v>460.966387</v>
      </c>
      <c r="G22" t="s">
        <v>17</v>
      </c>
      <c r="H22" t="s">
        <v>17</v>
      </c>
      <c r="I22">
        <v>2822</v>
      </c>
      <c r="J22">
        <v>267</v>
      </c>
      <c r="K22" s="1">
        <v>1825</v>
      </c>
      <c r="L22">
        <v>828.71297000000004</v>
      </c>
      <c r="M22">
        <v>380.99725100000001</v>
      </c>
      <c r="N22">
        <v>16.456225</v>
      </c>
      <c r="P22">
        <f t="shared" si="1"/>
        <v>0.26425534202166157</v>
      </c>
    </row>
    <row r="23" spans="1:16" x14ac:dyDescent="0.25">
      <c r="A23">
        <v>16</v>
      </c>
      <c r="B23" t="s">
        <v>32</v>
      </c>
      <c r="C23" t="s">
        <v>16</v>
      </c>
      <c r="D23" s="1">
        <v>1585090</v>
      </c>
      <c r="E23" s="1">
        <v>414813.71</v>
      </c>
      <c r="F23">
        <v>414.69747899999999</v>
      </c>
      <c r="G23" t="s">
        <v>17</v>
      </c>
      <c r="H23" t="s">
        <v>17</v>
      </c>
      <c r="I23">
        <v>2822</v>
      </c>
      <c r="J23">
        <v>255</v>
      </c>
      <c r="K23" s="1">
        <v>1008</v>
      </c>
      <c r="L23">
        <v>561.690291</v>
      </c>
      <c r="M23">
        <v>179.208538</v>
      </c>
      <c r="N23">
        <v>16.456225</v>
      </c>
      <c r="P23">
        <f t="shared" si="1"/>
        <v>0.10562609413640983</v>
      </c>
    </row>
    <row r="24" spans="1:16" x14ac:dyDescent="0.25">
      <c r="A24">
        <v>17</v>
      </c>
      <c r="B24" t="s">
        <v>33</v>
      </c>
      <c r="C24" t="s">
        <v>16</v>
      </c>
      <c r="D24" s="1">
        <v>6928008</v>
      </c>
      <c r="E24" s="1">
        <v>5020845.8600000003</v>
      </c>
      <c r="F24">
        <v>675.81932800000004</v>
      </c>
      <c r="G24" t="s">
        <v>17</v>
      </c>
      <c r="H24" t="s">
        <v>17</v>
      </c>
      <c r="I24">
        <v>2822</v>
      </c>
      <c r="J24">
        <v>295</v>
      </c>
      <c r="K24" s="1">
        <v>7157</v>
      </c>
      <c r="L24" s="1">
        <v>2455</v>
      </c>
      <c r="M24" s="1">
        <v>1793.47</v>
      </c>
      <c r="N24">
        <v>16.456225</v>
      </c>
      <c r="P24">
        <f>E24/5020845.86</f>
        <v>1</v>
      </c>
    </row>
    <row r="25" spans="1:16" x14ac:dyDescent="0.25">
      <c r="A25">
        <v>18</v>
      </c>
      <c r="B25" t="s">
        <v>34</v>
      </c>
      <c r="C25" t="s">
        <v>16</v>
      </c>
      <c r="D25" s="1">
        <v>6421118</v>
      </c>
      <c r="E25" s="1">
        <v>4609382.1399999997</v>
      </c>
      <c r="F25">
        <v>642.00420199999996</v>
      </c>
      <c r="G25" t="s">
        <v>17</v>
      </c>
      <c r="H25" t="s">
        <v>17</v>
      </c>
      <c r="I25">
        <v>2822</v>
      </c>
      <c r="J25">
        <v>329</v>
      </c>
      <c r="K25" s="1">
        <v>6405</v>
      </c>
      <c r="L25" s="1">
        <v>2275.38</v>
      </c>
      <c r="M25" s="1">
        <v>1589.95</v>
      </c>
      <c r="N25">
        <v>16.456225</v>
      </c>
      <c r="P25">
        <f t="shared" ref="P25:P31" si="2">E25/5020845.86</f>
        <v>0.91804892413088324</v>
      </c>
    </row>
    <row r="26" spans="1:16" x14ac:dyDescent="0.25">
      <c r="A26">
        <v>19</v>
      </c>
      <c r="B26" t="s">
        <v>35</v>
      </c>
      <c r="C26" t="s">
        <v>16</v>
      </c>
      <c r="D26" s="1">
        <v>6419361</v>
      </c>
      <c r="E26" s="1">
        <v>4479662.8600000003</v>
      </c>
      <c r="F26">
        <v>687.34873900000002</v>
      </c>
      <c r="G26" t="s">
        <v>17</v>
      </c>
      <c r="H26" t="s">
        <v>17</v>
      </c>
      <c r="I26">
        <v>2822</v>
      </c>
      <c r="J26">
        <v>320</v>
      </c>
      <c r="K26" s="1">
        <v>6884</v>
      </c>
      <c r="L26" s="1">
        <v>2274.7600000000002</v>
      </c>
      <c r="M26" s="1">
        <v>1670.89</v>
      </c>
      <c r="N26">
        <v>16.456225</v>
      </c>
      <c r="P26">
        <f t="shared" si="2"/>
        <v>0.89221278344521815</v>
      </c>
    </row>
    <row r="27" spans="1:16" x14ac:dyDescent="0.25">
      <c r="A27">
        <v>20</v>
      </c>
      <c r="B27" t="s">
        <v>36</v>
      </c>
      <c r="C27" t="s">
        <v>16</v>
      </c>
      <c r="D27" s="1">
        <v>5925705</v>
      </c>
      <c r="E27" s="1">
        <v>4014665.57</v>
      </c>
      <c r="F27">
        <v>677.19327699999997</v>
      </c>
      <c r="G27" t="s">
        <v>17</v>
      </c>
      <c r="H27" t="s">
        <v>17</v>
      </c>
      <c r="I27">
        <v>2822</v>
      </c>
      <c r="J27">
        <v>311</v>
      </c>
      <c r="K27" s="1">
        <v>6304</v>
      </c>
      <c r="L27" s="1">
        <v>2099.8200000000002</v>
      </c>
      <c r="M27" s="1">
        <v>1552.26</v>
      </c>
      <c r="N27">
        <v>16.456225</v>
      </c>
      <c r="P27">
        <f t="shared" si="2"/>
        <v>0.79959944637694969</v>
      </c>
    </row>
    <row r="28" spans="1:16" x14ac:dyDescent="0.25">
      <c r="A28">
        <v>21</v>
      </c>
      <c r="B28" t="s">
        <v>37</v>
      </c>
      <c r="C28" t="s">
        <v>16</v>
      </c>
      <c r="D28" s="1">
        <v>5788854</v>
      </c>
      <c r="E28" s="1">
        <v>3975078.71</v>
      </c>
      <c r="F28">
        <v>642.72689100000002</v>
      </c>
      <c r="G28" t="s">
        <v>17</v>
      </c>
      <c r="H28" t="s">
        <v>17</v>
      </c>
      <c r="I28">
        <v>2822</v>
      </c>
      <c r="J28">
        <v>328</v>
      </c>
      <c r="K28" s="1">
        <v>5852</v>
      </c>
      <c r="L28" s="1">
        <v>2051.33</v>
      </c>
      <c r="M28" s="1">
        <v>1427.61</v>
      </c>
      <c r="N28">
        <v>16.456225</v>
      </c>
      <c r="P28">
        <f t="shared" si="2"/>
        <v>0.79171494621426197</v>
      </c>
    </row>
    <row r="29" spans="1:16" x14ac:dyDescent="0.25">
      <c r="A29">
        <v>22</v>
      </c>
      <c r="B29" t="s">
        <v>38</v>
      </c>
      <c r="C29" t="s">
        <v>16</v>
      </c>
      <c r="D29" s="1">
        <v>4350380</v>
      </c>
      <c r="E29" s="1">
        <v>2803912.14</v>
      </c>
      <c r="F29">
        <v>548.00420199999996</v>
      </c>
      <c r="G29" t="s">
        <v>17</v>
      </c>
      <c r="H29" t="s">
        <v>17</v>
      </c>
      <c r="I29">
        <v>2822</v>
      </c>
      <c r="J29">
        <v>269</v>
      </c>
      <c r="K29" s="1">
        <v>4134</v>
      </c>
      <c r="L29" s="1">
        <v>1541.59</v>
      </c>
      <c r="M29" s="1">
        <v>1030.19</v>
      </c>
      <c r="N29">
        <v>16.456225</v>
      </c>
      <c r="P29">
        <f t="shared" si="2"/>
        <v>0.55845413665019383</v>
      </c>
    </row>
    <row r="30" spans="1:16" x14ac:dyDescent="0.25">
      <c r="A30">
        <v>23</v>
      </c>
      <c r="B30" t="s">
        <v>39</v>
      </c>
      <c r="C30" t="s">
        <v>16</v>
      </c>
      <c r="D30" s="1">
        <v>3308641</v>
      </c>
      <c r="E30" s="1">
        <v>1804052.57</v>
      </c>
      <c r="F30">
        <v>533.16386599999998</v>
      </c>
      <c r="G30" t="s">
        <v>17</v>
      </c>
      <c r="H30" t="s">
        <v>17</v>
      </c>
      <c r="I30">
        <v>2822</v>
      </c>
      <c r="J30">
        <v>269</v>
      </c>
      <c r="K30" s="1">
        <v>3154</v>
      </c>
      <c r="L30" s="1">
        <v>1172.45</v>
      </c>
      <c r="M30">
        <v>741.44070699999997</v>
      </c>
      <c r="N30">
        <v>16.456225</v>
      </c>
      <c r="P30">
        <f t="shared" si="2"/>
        <v>0.35931247847548936</v>
      </c>
    </row>
    <row r="31" spans="1:16" x14ac:dyDescent="0.25">
      <c r="A31">
        <v>24</v>
      </c>
      <c r="B31" t="s">
        <v>40</v>
      </c>
      <c r="C31" t="s">
        <v>16</v>
      </c>
      <c r="D31" s="1">
        <v>2139502</v>
      </c>
      <c r="E31" s="1">
        <v>708439.71</v>
      </c>
      <c r="F31">
        <v>507.10924399999999</v>
      </c>
      <c r="G31" t="s">
        <v>17</v>
      </c>
      <c r="H31" t="s">
        <v>17</v>
      </c>
      <c r="I31">
        <v>2822</v>
      </c>
      <c r="J31">
        <v>293</v>
      </c>
      <c r="K31" s="1">
        <v>1614</v>
      </c>
      <c r="L31">
        <v>758.15095699999995</v>
      </c>
      <c r="M31">
        <v>334.85224599999998</v>
      </c>
      <c r="N31">
        <v>16.456225</v>
      </c>
      <c r="P31">
        <f t="shared" si="2"/>
        <v>0.14109967319331326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P8" sqref="P8:P31"/>
    </sheetView>
  </sheetViews>
  <sheetFormatPr defaultRowHeight="15" x14ac:dyDescent="0.25"/>
  <cols>
    <col min="4" max="4" width="17" customWidth="1"/>
    <col min="5" max="5" width="15.85546875" customWidth="1"/>
  </cols>
  <sheetData>
    <row r="1" spans="1:16" x14ac:dyDescent="0.25">
      <c r="A1" s="2" t="s">
        <v>49</v>
      </c>
    </row>
    <row r="2" spans="1:16" x14ac:dyDescent="0.25">
      <c r="A2" s="2"/>
    </row>
    <row r="3" spans="1:16" x14ac:dyDescent="0.25">
      <c r="A3" t="s">
        <v>41</v>
      </c>
    </row>
    <row r="4" spans="1:16" x14ac:dyDescent="0.25">
      <c r="A4" t="s">
        <v>42</v>
      </c>
    </row>
    <row r="5" spans="1:16" x14ac:dyDescent="0.25">
      <c r="A5" t="s">
        <v>43</v>
      </c>
    </row>
    <row r="7" spans="1:16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P7" s="8" t="s">
        <v>44</v>
      </c>
    </row>
    <row r="8" spans="1:16" x14ac:dyDescent="0.25">
      <c r="A8">
        <v>1</v>
      </c>
      <c r="B8" t="s">
        <v>15</v>
      </c>
      <c r="C8" t="s">
        <v>16</v>
      </c>
      <c r="D8" s="1">
        <v>2182992</v>
      </c>
      <c r="E8" s="1">
        <v>796121.46511600004</v>
      </c>
      <c r="F8">
        <v>447.08914700000003</v>
      </c>
      <c r="G8" t="s">
        <v>17</v>
      </c>
      <c r="H8" t="s">
        <v>17</v>
      </c>
      <c r="I8">
        <v>3102</v>
      </c>
      <c r="J8">
        <v>284</v>
      </c>
      <c r="K8" s="1">
        <v>1787</v>
      </c>
      <c r="L8">
        <v>703.73694399999999</v>
      </c>
      <c r="M8">
        <v>345.38600300000002</v>
      </c>
      <c r="N8">
        <v>18.089017999999999</v>
      </c>
      <c r="P8">
        <f>E8/796121.465116</f>
        <v>1</v>
      </c>
    </row>
    <row r="9" spans="1:16" x14ac:dyDescent="0.25">
      <c r="A9">
        <v>2</v>
      </c>
      <c r="B9" t="s">
        <v>18</v>
      </c>
      <c r="C9" t="s">
        <v>16</v>
      </c>
      <c r="D9" s="1">
        <v>1992579</v>
      </c>
      <c r="E9" s="1">
        <v>736244.95348799997</v>
      </c>
      <c r="F9">
        <v>405.00775199999998</v>
      </c>
      <c r="G9" t="s">
        <v>17</v>
      </c>
      <c r="H9" t="s">
        <v>17</v>
      </c>
      <c r="I9">
        <v>3102</v>
      </c>
      <c r="J9">
        <v>276</v>
      </c>
      <c r="K9" s="1">
        <v>1616</v>
      </c>
      <c r="L9">
        <v>642.35299799999996</v>
      </c>
      <c r="M9">
        <v>309.88151900000003</v>
      </c>
      <c r="N9">
        <v>18.089017999999999</v>
      </c>
      <c r="P9" s="8">
        <f t="shared" ref="P9:P15" si="0">E9/796121.465116</f>
        <v>0.92478972838739415</v>
      </c>
    </row>
    <row r="10" spans="1:16" x14ac:dyDescent="0.25">
      <c r="A10">
        <v>3</v>
      </c>
      <c r="B10" t="s">
        <v>19</v>
      </c>
      <c r="C10" t="s">
        <v>16</v>
      </c>
      <c r="D10" s="1">
        <v>1759681</v>
      </c>
      <c r="E10" s="1">
        <v>559627.813953</v>
      </c>
      <c r="F10">
        <v>386.86434100000002</v>
      </c>
      <c r="G10" t="s">
        <v>17</v>
      </c>
      <c r="H10" t="s">
        <v>17</v>
      </c>
      <c r="I10">
        <v>3102</v>
      </c>
      <c r="J10">
        <v>277</v>
      </c>
      <c r="K10" s="1">
        <v>1343</v>
      </c>
      <c r="L10">
        <v>567.27305000000001</v>
      </c>
      <c r="M10">
        <v>241.00897699999999</v>
      </c>
      <c r="N10">
        <v>18.089017999999999</v>
      </c>
      <c r="P10" s="8">
        <f t="shared" si="0"/>
        <v>0.70294275242466753</v>
      </c>
    </row>
    <row r="11" spans="1:16" x14ac:dyDescent="0.25">
      <c r="A11">
        <v>4</v>
      </c>
      <c r="B11" t="s">
        <v>20</v>
      </c>
      <c r="C11" t="s">
        <v>16</v>
      </c>
      <c r="D11" s="1">
        <v>1680173</v>
      </c>
      <c r="E11" s="1">
        <v>549950.88372100005</v>
      </c>
      <c r="F11">
        <v>364.35271299999999</v>
      </c>
      <c r="G11" t="s">
        <v>17</v>
      </c>
      <c r="H11" t="s">
        <v>17</v>
      </c>
      <c r="I11">
        <v>3102</v>
      </c>
      <c r="J11">
        <v>260</v>
      </c>
      <c r="K11" s="1">
        <v>1379</v>
      </c>
      <c r="L11">
        <v>541.64184399999999</v>
      </c>
      <c r="M11">
        <v>259.46092299999998</v>
      </c>
      <c r="N11">
        <v>18.089017999999999</v>
      </c>
      <c r="P11" s="8">
        <f t="shared" si="0"/>
        <v>0.69078765969570821</v>
      </c>
    </row>
    <row r="12" spans="1:16" x14ac:dyDescent="0.25">
      <c r="A12">
        <v>5</v>
      </c>
      <c r="B12" t="s">
        <v>21</v>
      </c>
      <c r="C12" t="s">
        <v>16</v>
      </c>
      <c r="D12" s="1">
        <v>1514470</v>
      </c>
      <c r="E12" s="1">
        <v>394960.604651</v>
      </c>
      <c r="F12">
        <v>360.899225</v>
      </c>
      <c r="G12" t="s">
        <v>17</v>
      </c>
      <c r="H12" t="s">
        <v>17</v>
      </c>
      <c r="I12">
        <v>3102</v>
      </c>
      <c r="J12">
        <v>270</v>
      </c>
      <c r="K12" s="1">
        <v>1056</v>
      </c>
      <c r="L12">
        <v>488.223727</v>
      </c>
      <c r="M12">
        <v>170.072743</v>
      </c>
      <c r="N12">
        <v>18.089017999999999</v>
      </c>
      <c r="P12" s="8">
        <f t="shared" si="0"/>
        <v>0.49610596115939631</v>
      </c>
    </row>
    <row r="13" spans="1:16" x14ac:dyDescent="0.25">
      <c r="A13">
        <v>6</v>
      </c>
      <c r="B13" t="s">
        <v>22</v>
      </c>
      <c r="C13" t="s">
        <v>16</v>
      </c>
      <c r="D13" s="1">
        <v>1190028</v>
      </c>
      <c r="E13" s="1">
        <v>155150.302326</v>
      </c>
      <c r="F13">
        <v>333.61627900000002</v>
      </c>
      <c r="G13" t="s">
        <v>17</v>
      </c>
      <c r="H13" t="s">
        <v>17</v>
      </c>
      <c r="I13">
        <v>3102</v>
      </c>
      <c r="J13">
        <v>257</v>
      </c>
      <c r="K13">
        <v>698</v>
      </c>
      <c r="L13">
        <v>383.63249500000001</v>
      </c>
      <c r="M13">
        <v>85.957431</v>
      </c>
      <c r="N13">
        <v>18.089017999999999</v>
      </c>
      <c r="P13" s="8">
        <f t="shared" si="0"/>
        <v>0.19488270210550548</v>
      </c>
    </row>
    <row r="14" spans="1:16" x14ac:dyDescent="0.25">
      <c r="A14">
        <v>7</v>
      </c>
      <c r="B14" t="s">
        <v>23</v>
      </c>
      <c r="C14" t="s">
        <v>16</v>
      </c>
      <c r="D14" s="1">
        <v>1175087</v>
      </c>
      <c r="E14" s="1">
        <v>133103.55814000001</v>
      </c>
      <c r="F14">
        <v>335.90697699999998</v>
      </c>
      <c r="G14" t="s">
        <v>17</v>
      </c>
      <c r="H14" t="s">
        <v>17</v>
      </c>
      <c r="I14">
        <v>3102</v>
      </c>
      <c r="J14">
        <v>253</v>
      </c>
      <c r="K14">
        <v>620</v>
      </c>
      <c r="L14">
        <v>378.81592499999999</v>
      </c>
      <c r="M14">
        <v>64.452601999999999</v>
      </c>
      <c r="N14">
        <v>18.089017999999999</v>
      </c>
      <c r="P14" s="8">
        <f t="shared" si="0"/>
        <v>0.16719001304732559</v>
      </c>
    </row>
    <row r="15" spans="1:16" x14ac:dyDescent="0.25">
      <c r="A15">
        <v>8</v>
      </c>
      <c r="B15" t="s">
        <v>24</v>
      </c>
      <c r="C15" t="s">
        <v>16</v>
      </c>
      <c r="D15" s="1">
        <v>1175704</v>
      </c>
      <c r="E15" s="1">
        <v>90436.837209000005</v>
      </c>
      <c r="F15">
        <v>349.86046499999998</v>
      </c>
      <c r="G15" t="s">
        <v>17</v>
      </c>
      <c r="H15" t="s">
        <v>17</v>
      </c>
      <c r="I15">
        <v>3102</v>
      </c>
      <c r="J15">
        <v>262</v>
      </c>
      <c r="K15">
        <v>626</v>
      </c>
      <c r="L15">
        <v>379.01482900000002</v>
      </c>
      <c r="M15">
        <v>72.774736000000004</v>
      </c>
      <c r="N15">
        <v>18.089017999999999</v>
      </c>
      <c r="P15" s="8">
        <f t="shared" si="0"/>
        <v>0.11359678286757759</v>
      </c>
    </row>
    <row r="16" spans="1:16" x14ac:dyDescent="0.25">
      <c r="A16">
        <v>9</v>
      </c>
      <c r="B16" t="s">
        <v>25</v>
      </c>
      <c r="C16" t="s">
        <v>16</v>
      </c>
      <c r="D16" s="1">
        <v>2438986</v>
      </c>
      <c r="E16" s="1">
        <v>920316.53488399996</v>
      </c>
      <c r="F16">
        <v>489.577519</v>
      </c>
      <c r="G16" t="s">
        <v>17</v>
      </c>
      <c r="H16" t="s">
        <v>17</v>
      </c>
      <c r="I16">
        <v>3102</v>
      </c>
      <c r="J16">
        <v>288</v>
      </c>
      <c r="K16" s="1">
        <v>1717</v>
      </c>
      <c r="L16">
        <v>786.26241100000004</v>
      </c>
      <c r="M16">
        <v>365.23083700000001</v>
      </c>
      <c r="N16">
        <v>18.089017999999999</v>
      </c>
      <c r="P16">
        <f>E16/920316.534884</f>
        <v>1</v>
      </c>
    </row>
    <row r="17" spans="1:16" x14ac:dyDescent="0.25">
      <c r="A17">
        <v>10</v>
      </c>
      <c r="B17" t="s">
        <v>26</v>
      </c>
      <c r="C17" t="s">
        <v>16</v>
      </c>
      <c r="D17" s="1">
        <v>2304776</v>
      </c>
      <c r="E17" s="1">
        <v>899077.04651200003</v>
      </c>
      <c r="F17">
        <v>453.15891499999998</v>
      </c>
      <c r="G17" t="s">
        <v>17</v>
      </c>
      <c r="H17" t="s">
        <v>17</v>
      </c>
      <c r="I17">
        <v>3102</v>
      </c>
      <c r="J17">
        <v>277</v>
      </c>
      <c r="K17" s="1">
        <v>1825</v>
      </c>
      <c r="L17">
        <v>742.99677599999995</v>
      </c>
      <c r="M17">
        <v>368.57029</v>
      </c>
      <c r="N17">
        <v>18.089017999999999</v>
      </c>
      <c r="P17" s="8">
        <f t="shared" ref="P17:P23" si="1">E17/920316.534884</f>
        <v>0.97692153996268571</v>
      </c>
    </row>
    <row r="18" spans="1:16" x14ac:dyDescent="0.25">
      <c r="A18">
        <v>11</v>
      </c>
      <c r="B18" t="s">
        <v>27</v>
      </c>
      <c r="C18" t="s">
        <v>16</v>
      </c>
      <c r="D18" s="1">
        <v>2026537</v>
      </c>
      <c r="E18" s="1">
        <v>717168.37209299998</v>
      </c>
      <c r="F18">
        <v>422.10465099999999</v>
      </c>
      <c r="G18" t="s">
        <v>17</v>
      </c>
      <c r="H18" t="s">
        <v>17</v>
      </c>
      <c r="I18">
        <v>3102</v>
      </c>
      <c r="J18">
        <v>276</v>
      </c>
      <c r="K18" s="1">
        <v>1487</v>
      </c>
      <c r="L18">
        <v>653.30012899999997</v>
      </c>
      <c r="M18">
        <v>288.64464299999997</v>
      </c>
      <c r="N18">
        <v>18.089017999999999</v>
      </c>
      <c r="P18" s="8">
        <f t="shared" si="1"/>
        <v>0.77926272636554827</v>
      </c>
    </row>
    <row r="19" spans="1:16" x14ac:dyDescent="0.25">
      <c r="A19">
        <v>12</v>
      </c>
      <c r="B19" t="s">
        <v>28</v>
      </c>
      <c r="C19" t="s">
        <v>16</v>
      </c>
      <c r="D19" s="1">
        <v>1978420</v>
      </c>
      <c r="E19" s="1">
        <v>699362</v>
      </c>
      <c r="F19">
        <v>412.33333299999998</v>
      </c>
      <c r="G19" t="s">
        <v>17</v>
      </c>
      <c r="H19" t="s">
        <v>17</v>
      </c>
      <c r="I19">
        <v>3102</v>
      </c>
      <c r="J19">
        <v>259</v>
      </c>
      <c r="K19" s="1">
        <v>1509</v>
      </c>
      <c r="L19">
        <v>637.78852400000005</v>
      </c>
      <c r="M19">
        <v>285.391121</v>
      </c>
      <c r="N19">
        <v>18.089017999999999</v>
      </c>
      <c r="P19" s="8">
        <f t="shared" si="1"/>
        <v>0.75991463098959766</v>
      </c>
    </row>
    <row r="20" spans="1:16" x14ac:dyDescent="0.25">
      <c r="A20">
        <v>13</v>
      </c>
      <c r="B20" t="s">
        <v>29</v>
      </c>
      <c r="C20" t="s">
        <v>16</v>
      </c>
      <c r="D20" s="1">
        <v>1745100</v>
      </c>
      <c r="E20" s="1">
        <v>566989.25581400003</v>
      </c>
      <c r="F20">
        <v>379.79069800000002</v>
      </c>
      <c r="G20" t="s">
        <v>17</v>
      </c>
      <c r="H20" t="s">
        <v>17</v>
      </c>
      <c r="I20">
        <v>3102</v>
      </c>
      <c r="J20">
        <v>266</v>
      </c>
      <c r="K20" s="1">
        <v>1193</v>
      </c>
      <c r="L20">
        <v>562.57253400000002</v>
      </c>
      <c r="M20">
        <v>219.299353</v>
      </c>
      <c r="N20">
        <v>18.089017999999999</v>
      </c>
      <c r="P20" s="8">
        <f t="shared" si="1"/>
        <v>0.61608070084871991</v>
      </c>
    </row>
    <row r="21" spans="1:16" x14ac:dyDescent="0.25">
      <c r="A21">
        <v>14</v>
      </c>
      <c r="B21" t="s">
        <v>30</v>
      </c>
      <c r="C21" t="s">
        <v>16</v>
      </c>
      <c r="D21" s="1">
        <v>1432870</v>
      </c>
      <c r="E21" s="1">
        <v>344921.65116299997</v>
      </c>
      <c r="F21">
        <v>350.724806</v>
      </c>
      <c r="G21" t="s">
        <v>17</v>
      </c>
      <c r="H21" t="s">
        <v>17</v>
      </c>
      <c r="I21">
        <v>3102</v>
      </c>
      <c r="J21">
        <v>265</v>
      </c>
      <c r="K21" s="1">
        <v>1010</v>
      </c>
      <c r="L21">
        <v>461.918117</v>
      </c>
      <c r="M21">
        <v>158.96852899999999</v>
      </c>
      <c r="N21">
        <v>18.089017999999999</v>
      </c>
      <c r="P21" s="8">
        <f t="shared" si="1"/>
        <v>0.37478588951623598</v>
      </c>
    </row>
    <row r="22" spans="1:16" x14ac:dyDescent="0.25">
      <c r="A22">
        <v>15</v>
      </c>
      <c r="B22" t="s">
        <v>31</v>
      </c>
      <c r="C22" t="s">
        <v>16</v>
      </c>
      <c r="D22" s="1">
        <v>1306062</v>
      </c>
      <c r="E22" s="1">
        <v>279732.83720900002</v>
      </c>
      <c r="F22">
        <v>330.86046499999998</v>
      </c>
      <c r="G22" t="s">
        <v>17</v>
      </c>
      <c r="H22" t="s">
        <v>17</v>
      </c>
      <c r="I22">
        <v>3102</v>
      </c>
      <c r="J22">
        <v>259</v>
      </c>
      <c r="K22">
        <v>754</v>
      </c>
      <c r="L22">
        <v>421.03868499999999</v>
      </c>
      <c r="M22">
        <v>109.75802400000001</v>
      </c>
      <c r="N22">
        <v>18.089017999999999</v>
      </c>
      <c r="P22" s="8">
        <f t="shared" si="1"/>
        <v>0.303952853834424</v>
      </c>
    </row>
    <row r="23" spans="1:16" x14ac:dyDescent="0.25">
      <c r="A23">
        <v>16</v>
      </c>
      <c r="B23" t="s">
        <v>32</v>
      </c>
      <c r="C23" t="s">
        <v>16</v>
      </c>
      <c r="D23" s="1">
        <v>1309682</v>
      </c>
      <c r="E23" s="1">
        <v>291276.16279099998</v>
      </c>
      <c r="F23">
        <v>328.30620199999998</v>
      </c>
      <c r="G23" t="s">
        <v>17</v>
      </c>
      <c r="H23" t="s">
        <v>17</v>
      </c>
      <c r="I23">
        <v>3102</v>
      </c>
      <c r="J23">
        <v>245</v>
      </c>
      <c r="K23">
        <v>843</v>
      </c>
      <c r="L23">
        <v>422.20567399999999</v>
      </c>
      <c r="M23">
        <v>124.118775</v>
      </c>
      <c r="N23">
        <v>18.089017999999999</v>
      </c>
      <c r="P23" s="8">
        <f t="shared" si="1"/>
        <v>0.3164956313945978</v>
      </c>
    </row>
    <row r="24" spans="1:16" x14ac:dyDescent="0.25">
      <c r="A24">
        <v>17</v>
      </c>
      <c r="B24" t="s">
        <v>33</v>
      </c>
      <c r="C24" t="s">
        <v>16</v>
      </c>
      <c r="D24" s="1">
        <v>2782720</v>
      </c>
      <c r="E24" s="1">
        <v>1410048.9302330001</v>
      </c>
      <c r="F24">
        <v>442.51162799999997</v>
      </c>
      <c r="G24" t="s">
        <v>17</v>
      </c>
      <c r="H24" t="s">
        <v>17</v>
      </c>
      <c r="I24">
        <v>3102</v>
      </c>
      <c r="J24">
        <v>276</v>
      </c>
      <c r="K24" s="1">
        <v>2360</v>
      </c>
      <c r="L24">
        <v>897.072856</v>
      </c>
      <c r="M24">
        <v>519.82269899999994</v>
      </c>
      <c r="N24">
        <v>18.089017999999999</v>
      </c>
      <c r="P24">
        <f>E24/1410048.930233</f>
        <v>1</v>
      </c>
    </row>
    <row r="25" spans="1:16" x14ac:dyDescent="0.25">
      <c r="A25">
        <v>18</v>
      </c>
      <c r="B25" t="s">
        <v>34</v>
      </c>
      <c r="C25" t="s">
        <v>16</v>
      </c>
      <c r="D25" s="1">
        <v>2661019</v>
      </c>
      <c r="E25" s="1">
        <v>1300996.3953490001</v>
      </c>
      <c r="F25">
        <v>438.43410899999998</v>
      </c>
      <c r="G25" t="s">
        <v>17</v>
      </c>
      <c r="H25" t="s">
        <v>17</v>
      </c>
      <c r="I25">
        <v>3102</v>
      </c>
      <c r="J25">
        <v>272</v>
      </c>
      <c r="K25" s="1">
        <v>2188</v>
      </c>
      <c r="L25">
        <v>857.83978100000002</v>
      </c>
      <c r="M25">
        <v>473.55991499999999</v>
      </c>
      <c r="N25">
        <v>18.089017999999999</v>
      </c>
      <c r="P25" s="8">
        <f t="shared" ref="P25:P31" si="2">E25/1410048.930233</f>
        <v>0.92266046053736606</v>
      </c>
    </row>
    <row r="26" spans="1:16" x14ac:dyDescent="0.25">
      <c r="A26">
        <v>19</v>
      </c>
      <c r="B26" t="s">
        <v>35</v>
      </c>
      <c r="C26" t="s">
        <v>16</v>
      </c>
      <c r="D26" s="1">
        <v>2352531</v>
      </c>
      <c r="E26" s="1">
        <v>1089848.674419</v>
      </c>
      <c r="F26">
        <v>407.05426399999999</v>
      </c>
      <c r="G26" t="s">
        <v>17</v>
      </c>
      <c r="H26" t="s">
        <v>17</v>
      </c>
      <c r="I26">
        <v>3102</v>
      </c>
      <c r="J26">
        <v>269</v>
      </c>
      <c r="K26" s="1">
        <v>1882</v>
      </c>
      <c r="L26">
        <v>758.39168299999994</v>
      </c>
      <c r="M26">
        <v>390.69016900000003</v>
      </c>
      <c r="N26">
        <v>18.089017999999999</v>
      </c>
      <c r="P26" s="8">
        <f t="shared" si="2"/>
        <v>0.7729155003428928</v>
      </c>
    </row>
    <row r="27" spans="1:16" x14ac:dyDescent="0.25">
      <c r="A27">
        <v>20</v>
      </c>
      <c r="B27" t="s">
        <v>36</v>
      </c>
      <c r="C27" t="s">
        <v>16</v>
      </c>
      <c r="D27" s="1">
        <v>2308566</v>
      </c>
      <c r="E27" s="1">
        <v>1032056.930233</v>
      </c>
      <c r="F27">
        <v>411.51162799999997</v>
      </c>
      <c r="G27" t="s">
        <v>17</v>
      </c>
      <c r="H27" t="s">
        <v>17</v>
      </c>
      <c r="I27">
        <v>3102</v>
      </c>
      <c r="J27">
        <v>256</v>
      </c>
      <c r="K27" s="1">
        <v>1861</v>
      </c>
      <c r="L27">
        <v>744.218569</v>
      </c>
      <c r="M27">
        <v>382.24458600000003</v>
      </c>
      <c r="N27">
        <v>18.089017999999999</v>
      </c>
      <c r="P27" s="8">
        <f t="shared" si="2"/>
        <v>0.73192987002405674</v>
      </c>
    </row>
    <row r="28" spans="1:16" x14ac:dyDescent="0.25">
      <c r="A28">
        <v>21</v>
      </c>
      <c r="B28" t="s">
        <v>37</v>
      </c>
      <c r="C28" t="s">
        <v>16</v>
      </c>
      <c r="D28" s="1">
        <v>2362749</v>
      </c>
      <c r="E28" s="1">
        <v>1001500.023256</v>
      </c>
      <c r="F28">
        <v>438.82945699999999</v>
      </c>
      <c r="G28" t="s">
        <v>17</v>
      </c>
      <c r="H28" t="s">
        <v>17</v>
      </c>
      <c r="I28">
        <v>3102</v>
      </c>
      <c r="J28">
        <v>262</v>
      </c>
      <c r="K28" s="1">
        <v>1834</v>
      </c>
      <c r="L28">
        <v>761.68568700000003</v>
      </c>
      <c r="M28">
        <v>405.997681</v>
      </c>
      <c r="N28">
        <v>18.089017999999999</v>
      </c>
      <c r="P28" s="8">
        <f t="shared" si="2"/>
        <v>0.71025905681904922</v>
      </c>
    </row>
    <row r="29" spans="1:16" x14ac:dyDescent="0.25">
      <c r="A29">
        <v>22</v>
      </c>
      <c r="B29" t="s">
        <v>38</v>
      </c>
      <c r="C29" t="s">
        <v>16</v>
      </c>
      <c r="D29" s="1">
        <v>2132532</v>
      </c>
      <c r="E29" s="1">
        <v>885515.97674399999</v>
      </c>
      <c r="F29">
        <v>402.00387599999999</v>
      </c>
      <c r="G29" t="s">
        <v>17</v>
      </c>
      <c r="H29" t="s">
        <v>17</v>
      </c>
      <c r="I29">
        <v>3102</v>
      </c>
      <c r="J29">
        <v>258</v>
      </c>
      <c r="K29" s="1">
        <v>1670</v>
      </c>
      <c r="L29">
        <v>687.47001899999998</v>
      </c>
      <c r="M29">
        <v>332.82806499999998</v>
      </c>
      <c r="N29">
        <v>18.089017999999999</v>
      </c>
      <c r="P29" s="8">
        <f t="shared" si="2"/>
        <v>0.62800372225215972</v>
      </c>
    </row>
    <row r="30" spans="1:16" x14ac:dyDescent="0.25">
      <c r="A30">
        <v>23</v>
      </c>
      <c r="B30" t="s">
        <v>39</v>
      </c>
      <c r="C30" t="s">
        <v>16</v>
      </c>
      <c r="D30" s="1">
        <v>2056408</v>
      </c>
      <c r="E30" s="1">
        <v>829278.44186000002</v>
      </c>
      <c r="F30">
        <v>395.59302300000002</v>
      </c>
      <c r="G30" t="s">
        <v>17</v>
      </c>
      <c r="H30" t="s">
        <v>17</v>
      </c>
      <c r="I30">
        <v>3102</v>
      </c>
      <c r="J30">
        <v>264</v>
      </c>
      <c r="K30" s="1">
        <v>1539</v>
      </c>
      <c r="L30">
        <v>662.92972299999997</v>
      </c>
      <c r="M30">
        <v>303.98260399999998</v>
      </c>
      <c r="N30">
        <v>18.089017999999999</v>
      </c>
      <c r="P30" s="8">
        <f t="shared" si="2"/>
        <v>0.5881203297838522</v>
      </c>
    </row>
    <row r="31" spans="1:16" x14ac:dyDescent="0.25">
      <c r="A31">
        <v>24</v>
      </c>
      <c r="B31" t="s">
        <v>40</v>
      </c>
      <c r="C31" t="s">
        <v>16</v>
      </c>
      <c r="D31" s="1">
        <v>1784963</v>
      </c>
      <c r="E31" s="1">
        <v>563796.97674399999</v>
      </c>
      <c r="F31">
        <v>393.67054300000001</v>
      </c>
      <c r="G31" t="s">
        <v>17</v>
      </c>
      <c r="H31" t="s">
        <v>17</v>
      </c>
      <c r="I31">
        <v>3102</v>
      </c>
      <c r="J31">
        <v>248</v>
      </c>
      <c r="K31" s="1">
        <v>1356</v>
      </c>
      <c r="L31">
        <v>575.42327499999999</v>
      </c>
      <c r="M31">
        <v>267.64948700000002</v>
      </c>
      <c r="N31">
        <v>18.089017999999999</v>
      </c>
      <c r="P31" s="8">
        <f t="shared" si="2"/>
        <v>0.39984213643624178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P8" sqref="P8:P31"/>
    </sheetView>
  </sheetViews>
  <sheetFormatPr defaultRowHeight="15" x14ac:dyDescent="0.25"/>
  <cols>
    <col min="4" max="4" width="13.140625" customWidth="1"/>
    <col min="5" max="5" width="13.7109375" customWidth="1"/>
  </cols>
  <sheetData>
    <row r="1" spans="1:16" x14ac:dyDescent="0.25">
      <c r="A1" s="2" t="s">
        <v>50</v>
      </c>
    </row>
    <row r="3" spans="1:16" x14ac:dyDescent="0.25">
      <c r="A3" t="s">
        <v>46</v>
      </c>
    </row>
    <row r="4" spans="1:16" x14ac:dyDescent="0.25">
      <c r="A4" t="s">
        <v>47</v>
      </c>
    </row>
    <row r="5" spans="1:16" x14ac:dyDescent="0.25">
      <c r="A5" t="s">
        <v>48</v>
      </c>
    </row>
    <row r="6" spans="1:16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x14ac:dyDescent="0.2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  <c r="P7" t="s">
        <v>44</v>
      </c>
    </row>
    <row r="8" spans="1:16" x14ac:dyDescent="0.25">
      <c r="A8" s="4">
        <v>1</v>
      </c>
      <c r="B8" s="4" t="s">
        <v>15</v>
      </c>
      <c r="C8" s="4" t="s">
        <v>16</v>
      </c>
      <c r="D8" s="5">
        <v>1377103</v>
      </c>
      <c r="E8" s="5">
        <v>240448.44185999999</v>
      </c>
      <c r="F8" s="4">
        <v>366.426357</v>
      </c>
      <c r="G8" s="4" t="s">
        <v>17</v>
      </c>
      <c r="H8" s="4" t="s">
        <v>17</v>
      </c>
      <c r="I8" s="4">
        <v>3102</v>
      </c>
      <c r="J8" s="4">
        <v>293</v>
      </c>
      <c r="K8" s="4">
        <v>760</v>
      </c>
      <c r="L8" s="4">
        <v>443.940361</v>
      </c>
      <c r="M8" s="4">
        <v>87.322046999999998</v>
      </c>
      <c r="N8" s="4">
        <v>18.089017999999999</v>
      </c>
      <c r="P8">
        <f>E8/240448.44186</f>
        <v>1</v>
      </c>
    </row>
    <row r="9" spans="1:16" x14ac:dyDescent="0.25">
      <c r="A9" s="4">
        <v>2</v>
      </c>
      <c r="B9" s="4" t="s">
        <v>18</v>
      </c>
      <c r="C9" s="4" t="s">
        <v>16</v>
      </c>
      <c r="D9" s="5">
        <v>1266295</v>
      </c>
      <c r="E9" s="5">
        <v>185849.16279100001</v>
      </c>
      <c r="F9" s="4">
        <v>348.30620199999998</v>
      </c>
      <c r="G9" s="4" t="s">
        <v>17</v>
      </c>
      <c r="H9" s="4" t="s">
        <v>17</v>
      </c>
      <c r="I9" s="4">
        <v>3102</v>
      </c>
      <c r="J9" s="4">
        <v>272</v>
      </c>
      <c r="K9" s="4">
        <v>650</v>
      </c>
      <c r="L9" s="4">
        <v>408.21889099999999</v>
      </c>
      <c r="M9" s="4">
        <v>75.508127000000002</v>
      </c>
      <c r="N9" s="4">
        <v>18.089017999999999</v>
      </c>
      <c r="P9" s="8">
        <f t="shared" ref="P9:P15" si="0">E9/240448.44186</f>
        <v>0.77292729099575463</v>
      </c>
    </row>
    <row r="10" spans="1:16" x14ac:dyDescent="0.25">
      <c r="A10" s="4">
        <v>3</v>
      </c>
      <c r="B10" s="4" t="s">
        <v>19</v>
      </c>
      <c r="C10" s="4" t="s">
        <v>16</v>
      </c>
      <c r="D10" s="5">
        <v>1256110</v>
      </c>
      <c r="E10" s="5">
        <v>195322.186047</v>
      </c>
      <c r="F10" s="4">
        <v>341.96899200000001</v>
      </c>
      <c r="G10" s="4" t="s">
        <v>17</v>
      </c>
      <c r="H10" s="4" t="s">
        <v>17</v>
      </c>
      <c r="I10" s="4">
        <v>3102</v>
      </c>
      <c r="J10" s="4">
        <v>271</v>
      </c>
      <c r="K10" s="4">
        <v>618</v>
      </c>
      <c r="L10" s="4">
        <v>404.93552499999998</v>
      </c>
      <c r="M10" s="4">
        <v>68.067947000000004</v>
      </c>
      <c r="N10" s="4">
        <v>18.089017999999999</v>
      </c>
      <c r="P10" s="8">
        <f t="shared" si="0"/>
        <v>0.81232460703873244</v>
      </c>
    </row>
    <row r="11" spans="1:16" x14ac:dyDescent="0.25">
      <c r="A11" s="4">
        <v>4</v>
      </c>
      <c r="B11" s="4" t="s">
        <v>20</v>
      </c>
      <c r="C11" s="4" t="s">
        <v>16</v>
      </c>
      <c r="D11" s="5">
        <v>1242711</v>
      </c>
      <c r="E11" s="5">
        <v>207604.86046500001</v>
      </c>
      <c r="F11" s="4">
        <v>333.68992200000002</v>
      </c>
      <c r="G11" s="4" t="s">
        <v>17</v>
      </c>
      <c r="H11" s="4" t="s">
        <v>17</v>
      </c>
      <c r="I11" s="4">
        <v>3102</v>
      </c>
      <c r="J11" s="4">
        <v>274</v>
      </c>
      <c r="K11" s="4">
        <v>643</v>
      </c>
      <c r="L11" s="4">
        <v>400.61605400000002</v>
      </c>
      <c r="M11" s="4">
        <v>74.634765000000002</v>
      </c>
      <c r="N11" s="4">
        <v>18.089017999999999</v>
      </c>
      <c r="P11" s="8">
        <f t="shared" si="0"/>
        <v>0.86340696932391425</v>
      </c>
    </row>
    <row r="12" spans="1:16" x14ac:dyDescent="0.25">
      <c r="A12" s="4">
        <v>5</v>
      </c>
      <c r="B12" s="4" t="s">
        <v>21</v>
      </c>
      <c r="C12" s="4" t="s">
        <v>16</v>
      </c>
      <c r="D12" s="5">
        <v>1239078</v>
      </c>
      <c r="E12" s="5">
        <v>208697</v>
      </c>
      <c r="F12" s="4">
        <v>332.16666700000002</v>
      </c>
      <c r="G12" s="4" t="s">
        <v>17</v>
      </c>
      <c r="H12" s="4" t="s">
        <v>17</v>
      </c>
      <c r="I12" s="4">
        <v>3102</v>
      </c>
      <c r="J12" s="4">
        <v>277</v>
      </c>
      <c r="K12" s="4">
        <v>635</v>
      </c>
      <c r="L12" s="4">
        <v>399.44487400000003</v>
      </c>
      <c r="M12" s="4">
        <v>77.638676000000004</v>
      </c>
      <c r="N12" s="4">
        <v>18.089017999999999</v>
      </c>
      <c r="P12" s="8">
        <f t="shared" si="0"/>
        <v>0.86794906378105319</v>
      </c>
    </row>
    <row r="13" spans="1:16" x14ac:dyDescent="0.25">
      <c r="A13" s="4">
        <v>6</v>
      </c>
      <c r="B13" s="4" t="s">
        <v>22</v>
      </c>
      <c r="C13" s="4" t="s">
        <v>16</v>
      </c>
      <c r="D13" s="5">
        <v>1148041</v>
      </c>
      <c r="E13" s="5">
        <v>129707.302326</v>
      </c>
      <c r="F13" s="4">
        <v>328.28294599999998</v>
      </c>
      <c r="G13" s="4" t="s">
        <v>17</v>
      </c>
      <c r="H13" s="4" t="s">
        <v>17</v>
      </c>
      <c r="I13" s="4">
        <v>3102</v>
      </c>
      <c r="J13" s="4">
        <v>281</v>
      </c>
      <c r="K13" s="4">
        <v>522</v>
      </c>
      <c r="L13" s="4">
        <v>370.09703400000001</v>
      </c>
      <c r="M13" s="4">
        <v>49.564107999999997</v>
      </c>
      <c r="N13" s="4">
        <v>18.089017999999999</v>
      </c>
      <c r="P13" s="8">
        <f t="shared" si="0"/>
        <v>0.53943914679855354</v>
      </c>
    </row>
    <row r="14" spans="1:16" x14ac:dyDescent="0.25">
      <c r="A14" s="4">
        <v>7</v>
      </c>
      <c r="B14" s="4" t="s">
        <v>23</v>
      </c>
      <c r="C14" s="4" t="s">
        <v>16</v>
      </c>
      <c r="D14" s="5">
        <v>1133997</v>
      </c>
      <c r="E14" s="5">
        <v>112429.046512</v>
      </c>
      <c r="F14" s="4">
        <v>329.325581</v>
      </c>
      <c r="G14" s="4" t="s">
        <v>17</v>
      </c>
      <c r="H14" s="4" t="s">
        <v>17</v>
      </c>
      <c r="I14" s="4">
        <v>3102</v>
      </c>
      <c r="J14" s="4">
        <v>282</v>
      </c>
      <c r="K14" s="4">
        <v>538</v>
      </c>
      <c r="L14" s="4">
        <v>365.56963200000001</v>
      </c>
      <c r="M14" s="4">
        <v>48.460771000000001</v>
      </c>
      <c r="N14" s="4">
        <v>18.089017999999999</v>
      </c>
      <c r="P14" s="8">
        <f t="shared" si="0"/>
        <v>0.4675806823379679</v>
      </c>
    </row>
    <row r="15" spans="1:16" x14ac:dyDescent="0.25">
      <c r="A15" s="4">
        <v>8</v>
      </c>
      <c r="B15" s="4" t="s">
        <v>24</v>
      </c>
      <c r="C15" s="4" t="s">
        <v>16</v>
      </c>
      <c r="D15" s="5">
        <v>1066850</v>
      </c>
      <c r="E15" s="5">
        <v>57954.558140000001</v>
      </c>
      <c r="F15" s="4">
        <v>325.24031000000002</v>
      </c>
      <c r="G15" s="4" t="s">
        <v>17</v>
      </c>
      <c r="H15" s="4" t="s">
        <v>17</v>
      </c>
      <c r="I15" s="4">
        <v>3102</v>
      </c>
      <c r="J15" s="4">
        <v>270</v>
      </c>
      <c r="K15" s="4">
        <v>450</v>
      </c>
      <c r="L15" s="4">
        <v>343.92327499999999</v>
      </c>
      <c r="M15" s="4">
        <v>29.907658000000001</v>
      </c>
      <c r="N15" s="4">
        <v>18.089017999999999</v>
      </c>
      <c r="P15" s="8">
        <f t="shared" si="0"/>
        <v>0.24102696483158656</v>
      </c>
    </row>
    <row r="16" spans="1:16" x14ac:dyDescent="0.25">
      <c r="A16" s="4">
        <v>9</v>
      </c>
      <c r="B16" s="4" t="s">
        <v>25</v>
      </c>
      <c r="C16" s="4" t="s">
        <v>16</v>
      </c>
      <c r="D16" s="5">
        <v>1316363</v>
      </c>
      <c r="E16" s="5">
        <v>292258.13953500002</v>
      </c>
      <c r="F16" s="4">
        <v>330.14341100000001</v>
      </c>
      <c r="G16" s="4" t="s">
        <v>17</v>
      </c>
      <c r="H16" s="4" t="s">
        <v>17</v>
      </c>
      <c r="I16" s="4">
        <v>3102</v>
      </c>
      <c r="J16" s="4">
        <v>265</v>
      </c>
      <c r="K16" s="4">
        <v>720</v>
      </c>
      <c r="L16" s="4">
        <v>424.35944599999999</v>
      </c>
      <c r="M16" s="4">
        <v>100.652514</v>
      </c>
      <c r="N16" s="4">
        <v>18.089017999999999</v>
      </c>
      <c r="P16">
        <f>E16/292258.139535</f>
        <v>1</v>
      </c>
    </row>
    <row r="17" spans="1:16" x14ac:dyDescent="0.25">
      <c r="A17" s="4">
        <v>10</v>
      </c>
      <c r="B17" s="4" t="s">
        <v>26</v>
      </c>
      <c r="C17" s="4" t="s">
        <v>16</v>
      </c>
      <c r="D17" s="5">
        <v>1265276</v>
      </c>
      <c r="E17" s="5">
        <v>253951.86046500001</v>
      </c>
      <c r="F17" s="4">
        <v>326.023256</v>
      </c>
      <c r="G17" s="4" t="s">
        <v>17</v>
      </c>
      <c r="H17" s="4" t="s">
        <v>17</v>
      </c>
      <c r="I17" s="4">
        <v>3102</v>
      </c>
      <c r="J17" s="4">
        <v>272</v>
      </c>
      <c r="K17" s="4">
        <v>652</v>
      </c>
      <c r="L17" s="4">
        <v>407.89039300000002</v>
      </c>
      <c r="M17" s="4">
        <v>85.849389000000002</v>
      </c>
      <c r="N17" s="4">
        <v>18.089017999999999</v>
      </c>
      <c r="P17" s="8">
        <f t="shared" ref="P17:P23" si="1">E17/292258.139535</f>
        <v>0.8689299838459672</v>
      </c>
    </row>
    <row r="18" spans="1:16" x14ac:dyDescent="0.25">
      <c r="A18" s="4">
        <v>11</v>
      </c>
      <c r="B18" s="4" t="s">
        <v>27</v>
      </c>
      <c r="C18" s="4" t="s">
        <v>16</v>
      </c>
      <c r="D18" s="5">
        <v>1236521</v>
      </c>
      <c r="E18" s="5">
        <v>226964.27906999999</v>
      </c>
      <c r="F18" s="4">
        <v>325.45348799999999</v>
      </c>
      <c r="G18" s="4" t="s">
        <v>17</v>
      </c>
      <c r="H18" s="4" t="s">
        <v>17</v>
      </c>
      <c r="I18" s="4">
        <v>3102</v>
      </c>
      <c r="J18" s="4">
        <v>268</v>
      </c>
      <c r="K18" s="4">
        <v>621</v>
      </c>
      <c r="L18" s="4">
        <v>398.62056699999999</v>
      </c>
      <c r="M18" s="4">
        <v>78.064539999999994</v>
      </c>
      <c r="N18" s="4">
        <v>18.089017999999999</v>
      </c>
      <c r="P18" s="8">
        <f t="shared" si="1"/>
        <v>0.77658839350415898</v>
      </c>
    </row>
    <row r="19" spans="1:16" x14ac:dyDescent="0.25">
      <c r="A19" s="4">
        <v>12</v>
      </c>
      <c r="B19" s="4" t="s">
        <v>28</v>
      </c>
      <c r="C19" s="4" t="s">
        <v>16</v>
      </c>
      <c r="D19" s="5">
        <v>1238429</v>
      </c>
      <c r="E19" s="5">
        <v>251704.44185999999</v>
      </c>
      <c r="F19" s="4">
        <v>318.09302300000002</v>
      </c>
      <c r="G19" s="4" t="s">
        <v>17</v>
      </c>
      <c r="H19" s="4" t="s">
        <v>17</v>
      </c>
      <c r="I19" s="4">
        <v>3102</v>
      </c>
      <c r="J19" s="4">
        <v>268</v>
      </c>
      <c r="K19" s="4">
        <v>637</v>
      </c>
      <c r="L19" s="4">
        <v>399.23565400000001</v>
      </c>
      <c r="M19" s="4">
        <v>79.346523000000005</v>
      </c>
      <c r="N19" s="4">
        <v>18.089017999999999</v>
      </c>
      <c r="P19" s="8">
        <f t="shared" si="1"/>
        <v>0.86124014291090967</v>
      </c>
    </row>
    <row r="20" spans="1:16" x14ac:dyDescent="0.25">
      <c r="A20" s="4">
        <v>13</v>
      </c>
      <c r="B20" s="4" t="s">
        <v>29</v>
      </c>
      <c r="C20" s="4" t="s">
        <v>16</v>
      </c>
      <c r="D20" s="5">
        <v>1198235</v>
      </c>
      <c r="E20" s="5">
        <v>234595.09302299999</v>
      </c>
      <c r="F20" s="4">
        <v>310.651163</v>
      </c>
      <c r="G20" s="4" t="s">
        <v>17</v>
      </c>
      <c r="H20" s="4" t="s">
        <v>17</v>
      </c>
      <c r="I20" s="4">
        <v>3102</v>
      </c>
      <c r="J20" s="4">
        <v>261</v>
      </c>
      <c r="K20" s="4">
        <v>608</v>
      </c>
      <c r="L20" s="4">
        <v>386.27820800000001</v>
      </c>
      <c r="M20" s="4">
        <v>74.369992999999994</v>
      </c>
      <c r="N20" s="4">
        <v>18.089017999999999</v>
      </c>
      <c r="P20" s="8">
        <f t="shared" si="1"/>
        <v>0.80269823586865585</v>
      </c>
    </row>
    <row r="21" spans="1:16" x14ac:dyDescent="0.25">
      <c r="A21" s="4">
        <v>14</v>
      </c>
      <c r="B21" s="4" t="s">
        <v>30</v>
      </c>
      <c r="C21" s="4" t="s">
        <v>16</v>
      </c>
      <c r="D21" s="5">
        <v>1112158</v>
      </c>
      <c r="E21" s="5">
        <v>172708.88372099999</v>
      </c>
      <c r="F21" s="4">
        <v>302.85271299999999</v>
      </c>
      <c r="G21" s="4" t="s">
        <v>17</v>
      </c>
      <c r="H21" s="4" t="s">
        <v>17</v>
      </c>
      <c r="I21" s="4">
        <v>3102</v>
      </c>
      <c r="J21" s="4">
        <v>257</v>
      </c>
      <c r="K21" s="4">
        <v>521</v>
      </c>
      <c r="L21" s="4">
        <v>358.529336</v>
      </c>
      <c r="M21" s="4">
        <v>53.205018000000003</v>
      </c>
      <c r="N21" s="4">
        <v>18.089017999999999</v>
      </c>
      <c r="P21" s="8">
        <f t="shared" si="1"/>
        <v>0.59094635993984646</v>
      </c>
    </row>
    <row r="22" spans="1:16" x14ac:dyDescent="0.25">
      <c r="A22" s="4">
        <v>15</v>
      </c>
      <c r="B22" s="4" t="s">
        <v>31</v>
      </c>
      <c r="C22" s="4" t="s">
        <v>16</v>
      </c>
      <c r="D22" s="5">
        <v>1038309</v>
      </c>
      <c r="E22" s="5">
        <v>134112.06976700001</v>
      </c>
      <c r="F22" s="4">
        <v>291.48837200000003</v>
      </c>
      <c r="G22" s="4" t="s">
        <v>17</v>
      </c>
      <c r="H22" s="4" t="s">
        <v>17</v>
      </c>
      <c r="I22" s="4">
        <v>3102</v>
      </c>
      <c r="J22" s="4">
        <v>249</v>
      </c>
      <c r="K22" s="4">
        <v>482</v>
      </c>
      <c r="L22" s="4">
        <v>334.72243700000001</v>
      </c>
      <c r="M22" s="4">
        <v>46.867578999999999</v>
      </c>
      <c r="N22" s="4">
        <v>18.089017999999999</v>
      </c>
      <c r="P22" s="8">
        <f t="shared" si="1"/>
        <v>0.45888224013326107</v>
      </c>
    </row>
    <row r="23" spans="1:16" x14ac:dyDescent="0.25">
      <c r="A23" s="4">
        <v>16</v>
      </c>
      <c r="B23" s="4" t="s">
        <v>32</v>
      </c>
      <c r="C23" s="4" t="s">
        <v>16</v>
      </c>
      <c r="D23" s="5">
        <v>950679</v>
      </c>
      <c r="E23" s="5">
        <v>65851.534883999993</v>
      </c>
      <c r="F23" s="4">
        <v>285.24418600000001</v>
      </c>
      <c r="G23" s="4" t="s">
        <v>17</v>
      </c>
      <c r="H23" s="4" t="s">
        <v>17</v>
      </c>
      <c r="I23" s="4">
        <v>3102</v>
      </c>
      <c r="J23" s="4">
        <v>240</v>
      </c>
      <c r="K23" s="4">
        <v>399</v>
      </c>
      <c r="L23" s="4">
        <v>306.47292099999999</v>
      </c>
      <c r="M23" s="4">
        <v>27.507055000000001</v>
      </c>
      <c r="N23" s="4">
        <v>18.089017999999999</v>
      </c>
      <c r="P23" s="8">
        <f t="shared" si="1"/>
        <v>0.2253197635103463</v>
      </c>
    </row>
    <row r="24" spans="1:16" x14ac:dyDescent="0.25">
      <c r="A24" s="4">
        <v>17</v>
      </c>
      <c r="B24" s="4" t="s">
        <v>33</v>
      </c>
      <c r="C24" s="4" t="s">
        <v>16</v>
      </c>
      <c r="D24" s="5">
        <v>1135256</v>
      </c>
      <c r="E24" s="5">
        <v>246064.09302299999</v>
      </c>
      <c r="F24" s="4">
        <v>286.651163</v>
      </c>
      <c r="G24" s="4" t="s">
        <v>17</v>
      </c>
      <c r="H24" s="4" t="s">
        <v>17</v>
      </c>
      <c r="I24" s="4">
        <v>3102</v>
      </c>
      <c r="J24" s="4">
        <v>229</v>
      </c>
      <c r="K24" s="4">
        <v>572</v>
      </c>
      <c r="L24" s="4">
        <v>365.97550000000001</v>
      </c>
      <c r="M24" s="4">
        <v>76.013105999999993</v>
      </c>
      <c r="N24" s="4">
        <v>18.089017999999999</v>
      </c>
      <c r="P24" s="8">
        <f>E24/246064.093023</f>
        <v>1</v>
      </c>
    </row>
    <row r="25" spans="1:16" x14ac:dyDescent="0.25">
      <c r="A25" s="4">
        <v>18</v>
      </c>
      <c r="B25" s="4" t="s">
        <v>34</v>
      </c>
      <c r="C25" s="4" t="s">
        <v>16</v>
      </c>
      <c r="D25" s="5">
        <v>1131913</v>
      </c>
      <c r="E25" s="5">
        <v>238488.90697700001</v>
      </c>
      <c r="F25" s="4">
        <v>288.01550400000002</v>
      </c>
      <c r="G25" s="4" t="s">
        <v>17</v>
      </c>
      <c r="H25" s="4" t="s">
        <v>17</v>
      </c>
      <c r="I25" s="4">
        <v>3102</v>
      </c>
      <c r="J25" s="4">
        <v>241</v>
      </c>
      <c r="K25" s="4">
        <v>568</v>
      </c>
      <c r="L25" s="4">
        <v>364.897808</v>
      </c>
      <c r="M25" s="4">
        <v>70.502188000000004</v>
      </c>
      <c r="N25" s="4">
        <v>18.089017999999999</v>
      </c>
      <c r="P25" s="8">
        <f t="shared" ref="P25:P31" si="2">E25/246064.093023</f>
        <v>0.96921458164441765</v>
      </c>
    </row>
    <row r="26" spans="1:16" x14ac:dyDescent="0.25">
      <c r="A26" s="4">
        <v>19</v>
      </c>
      <c r="B26" s="4" t="s">
        <v>35</v>
      </c>
      <c r="C26" s="4" t="s">
        <v>16</v>
      </c>
      <c r="D26" s="5">
        <v>1111275</v>
      </c>
      <c r="E26" s="5">
        <v>203531.209302</v>
      </c>
      <c r="F26" s="4">
        <v>292.63178299999998</v>
      </c>
      <c r="G26" s="4" t="s">
        <v>17</v>
      </c>
      <c r="H26" s="4" t="s">
        <v>17</v>
      </c>
      <c r="I26" s="4">
        <v>3102</v>
      </c>
      <c r="J26" s="4">
        <v>242</v>
      </c>
      <c r="K26" s="4">
        <v>544</v>
      </c>
      <c r="L26" s="4">
        <v>358.24468100000001</v>
      </c>
      <c r="M26" s="4">
        <v>63.446365999999998</v>
      </c>
      <c r="N26" s="4">
        <v>18.089017999999999</v>
      </c>
      <c r="P26" s="8">
        <f t="shared" si="2"/>
        <v>0.82714713390943884</v>
      </c>
    </row>
    <row r="27" spans="1:16" x14ac:dyDescent="0.25">
      <c r="A27" s="4">
        <v>20</v>
      </c>
      <c r="B27" s="4" t="s">
        <v>36</v>
      </c>
      <c r="C27" s="4" t="s">
        <v>16</v>
      </c>
      <c r="D27" s="5">
        <v>1121483</v>
      </c>
      <c r="E27" s="5">
        <v>224848.697674</v>
      </c>
      <c r="F27" s="4">
        <v>289.050388</v>
      </c>
      <c r="G27" s="4" t="s">
        <v>17</v>
      </c>
      <c r="H27" s="4" t="s">
        <v>17</v>
      </c>
      <c r="I27" s="4">
        <v>3102</v>
      </c>
      <c r="J27" s="4">
        <v>250</v>
      </c>
      <c r="K27" s="4">
        <v>574</v>
      </c>
      <c r="L27" s="4">
        <v>361.535461</v>
      </c>
      <c r="M27" s="4">
        <v>72.804348000000005</v>
      </c>
      <c r="N27" s="4">
        <v>18.089017999999999</v>
      </c>
      <c r="P27" s="8">
        <f t="shared" si="2"/>
        <v>0.91378101904930531</v>
      </c>
    </row>
    <row r="28" spans="1:16" x14ac:dyDescent="0.25">
      <c r="A28" s="4">
        <v>21</v>
      </c>
      <c r="B28" s="4" t="s">
        <v>37</v>
      </c>
      <c r="C28" s="4" t="s">
        <v>16</v>
      </c>
      <c r="D28" s="5">
        <v>1107315</v>
      </c>
      <c r="E28" s="5">
        <v>210031.44185999999</v>
      </c>
      <c r="F28" s="4">
        <v>289.25968999999998</v>
      </c>
      <c r="G28" s="4" t="s">
        <v>17</v>
      </c>
      <c r="H28" s="4" t="s">
        <v>17</v>
      </c>
      <c r="I28" s="4">
        <v>3102</v>
      </c>
      <c r="J28" s="4">
        <v>249</v>
      </c>
      <c r="K28" s="4">
        <v>557</v>
      </c>
      <c r="L28" s="4">
        <v>356.96808499999997</v>
      </c>
      <c r="M28" s="4">
        <v>65.223234000000005</v>
      </c>
      <c r="N28" s="4">
        <v>18.089017999999999</v>
      </c>
      <c r="P28" s="8">
        <f t="shared" si="2"/>
        <v>0.85356396083506592</v>
      </c>
    </row>
    <row r="29" spans="1:16" x14ac:dyDescent="0.25">
      <c r="A29" s="4">
        <v>22</v>
      </c>
      <c r="B29" s="4" t="s">
        <v>38</v>
      </c>
      <c r="C29" s="4" t="s">
        <v>16</v>
      </c>
      <c r="D29" s="5">
        <v>1085025</v>
      </c>
      <c r="E29" s="5">
        <v>187044.09302299999</v>
      </c>
      <c r="F29" s="4">
        <v>289.48449599999998</v>
      </c>
      <c r="G29" s="4" t="s">
        <v>17</v>
      </c>
      <c r="H29" s="4" t="s">
        <v>17</v>
      </c>
      <c r="I29" s="4">
        <v>3102</v>
      </c>
      <c r="J29" s="4">
        <v>245</v>
      </c>
      <c r="K29" s="4">
        <v>548</v>
      </c>
      <c r="L29" s="4">
        <v>349.782398</v>
      </c>
      <c r="M29" s="4">
        <v>62.515154000000003</v>
      </c>
      <c r="N29" s="4">
        <v>18.089017999999999</v>
      </c>
      <c r="P29" s="8">
        <f t="shared" si="2"/>
        <v>0.76014379312757629</v>
      </c>
    </row>
    <row r="30" spans="1:16" x14ac:dyDescent="0.25">
      <c r="A30" s="4">
        <v>23</v>
      </c>
      <c r="B30" s="4" t="s">
        <v>39</v>
      </c>
      <c r="C30" s="4" t="s">
        <v>16</v>
      </c>
      <c r="D30" s="5">
        <v>1056493</v>
      </c>
      <c r="E30" s="5">
        <v>165629.86046500001</v>
      </c>
      <c r="F30" s="4">
        <v>287.18992200000002</v>
      </c>
      <c r="G30" s="4" t="s">
        <v>17</v>
      </c>
      <c r="H30" s="4" t="s">
        <v>17</v>
      </c>
      <c r="I30" s="4">
        <v>3102</v>
      </c>
      <c r="J30" s="4">
        <v>231</v>
      </c>
      <c r="K30" s="4">
        <v>530</v>
      </c>
      <c r="L30" s="4">
        <v>340.58446199999997</v>
      </c>
      <c r="M30" s="4">
        <v>58.536430000000003</v>
      </c>
      <c r="N30" s="4">
        <v>18.089017999999999</v>
      </c>
      <c r="P30" s="8">
        <f t="shared" si="2"/>
        <v>0.67311674137485111</v>
      </c>
    </row>
    <row r="31" spans="1:16" x14ac:dyDescent="0.25">
      <c r="A31" s="4">
        <v>24</v>
      </c>
      <c r="B31" s="4" t="s">
        <v>40</v>
      </c>
      <c r="C31" s="4" t="s">
        <v>16</v>
      </c>
      <c r="D31" s="5">
        <v>1004691</v>
      </c>
      <c r="E31" s="5">
        <v>123206</v>
      </c>
      <c r="F31" s="4">
        <v>284.16666700000002</v>
      </c>
      <c r="G31" s="4" t="s">
        <v>17</v>
      </c>
      <c r="H31" s="4" t="s">
        <v>17</v>
      </c>
      <c r="I31" s="4">
        <v>3102</v>
      </c>
      <c r="J31" s="4">
        <v>239</v>
      </c>
      <c r="K31" s="4">
        <v>474</v>
      </c>
      <c r="L31" s="4">
        <v>323.88491299999998</v>
      </c>
      <c r="M31" s="4">
        <v>44.411090000000002</v>
      </c>
      <c r="N31" s="4">
        <v>18.089017999999999</v>
      </c>
      <c r="P31" s="8">
        <f t="shared" si="2"/>
        <v>0.5007069438143652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P7" sqref="P7"/>
    </sheetView>
  </sheetViews>
  <sheetFormatPr defaultRowHeight="15" x14ac:dyDescent="0.25"/>
  <cols>
    <col min="4" max="4" width="14.140625" customWidth="1"/>
    <col min="5" max="5" width="13.42578125" customWidth="1"/>
  </cols>
  <sheetData>
    <row r="1" spans="1:16" x14ac:dyDescent="0.25">
      <c r="A1" s="2" t="s">
        <v>52</v>
      </c>
    </row>
    <row r="3" spans="1:16" x14ac:dyDescent="0.25">
      <c r="A3" s="8" t="s">
        <v>41</v>
      </c>
    </row>
    <row r="4" spans="1:16" x14ac:dyDescent="0.25">
      <c r="A4" s="8" t="s">
        <v>42</v>
      </c>
    </row>
    <row r="5" spans="1:16" x14ac:dyDescent="0.25">
      <c r="A5" s="8" t="s">
        <v>43</v>
      </c>
    </row>
    <row r="6" spans="1:16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6" x14ac:dyDescent="0.25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8" t="s">
        <v>11</v>
      </c>
      <c r="L7" s="8" t="s">
        <v>12</v>
      </c>
      <c r="M7" s="8" t="s">
        <v>13</v>
      </c>
      <c r="N7" s="8" t="s">
        <v>14</v>
      </c>
      <c r="P7" s="8" t="s">
        <v>44</v>
      </c>
    </row>
    <row r="8" spans="1:16" x14ac:dyDescent="0.25">
      <c r="A8" s="8">
        <v>1</v>
      </c>
      <c r="B8" s="8" t="s">
        <v>15</v>
      </c>
      <c r="C8" s="8" t="s">
        <v>16</v>
      </c>
      <c r="D8" s="9">
        <v>2500898</v>
      </c>
      <c r="E8" s="9">
        <v>995502.209302</v>
      </c>
      <c r="F8" s="8">
        <v>485.29845</v>
      </c>
      <c r="G8" s="8" t="s">
        <v>17</v>
      </c>
      <c r="H8" s="8" t="s">
        <v>17</v>
      </c>
      <c r="I8" s="8">
        <v>3102</v>
      </c>
      <c r="J8" s="8">
        <v>293</v>
      </c>
      <c r="K8" s="9">
        <v>2167</v>
      </c>
      <c r="L8" s="8">
        <v>806.22114799999997</v>
      </c>
      <c r="M8" s="8">
        <v>440.90427699999998</v>
      </c>
      <c r="N8" s="8">
        <v>18.089017999999999</v>
      </c>
      <c r="P8">
        <f>E8/995502.209302</f>
        <v>1</v>
      </c>
    </row>
    <row r="9" spans="1:16" x14ac:dyDescent="0.25">
      <c r="A9" s="8">
        <v>2</v>
      </c>
      <c r="B9" s="8" t="s">
        <v>18</v>
      </c>
      <c r="C9" s="8" t="s">
        <v>16</v>
      </c>
      <c r="D9" s="9">
        <v>1712911</v>
      </c>
      <c r="E9" s="9">
        <v>454364.67441899999</v>
      </c>
      <c r="F9" s="8">
        <v>405.72093000000001</v>
      </c>
      <c r="G9" s="8" t="s">
        <v>17</v>
      </c>
      <c r="H9" s="8" t="s">
        <v>17</v>
      </c>
      <c r="I9" s="8">
        <v>3102</v>
      </c>
      <c r="J9" s="8">
        <v>276</v>
      </c>
      <c r="K9" s="9">
        <v>1289</v>
      </c>
      <c r="L9" s="8">
        <v>552.19568000000004</v>
      </c>
      <c r="M9" s="8">
        <v>227.41172599999999</v>
      </c>
      <c r="N9" s="8">
        <v>18.089017999999999</v>
      </c>
      <c r="P9" s="8">
        <f t="shared" ref="P9:P15" si="0">E9/995502.209302</f>
        <v>0.456417545007338</v>
      </c>
    </row>
    <row r="10" spans="1:16" x14ac:dyDescent="0.25">
      <c r="A10" s="8">
        <v>3</v>
      </c>
      <c r="B10" s="8" t="s">
        <v>19</v>
      </c>
      <c r="C10" s="8" t="s">
        <v>16</v>
      </c>
      <c r="D10" s="9">
        <v>1377029</v>
      </c>
      <c r="E10" s="9">
        <v>245267.90697700001</v>
      </c>
      <c r="F10" s="8">
        <v>364.848837</v>
      </c>
      <c r="G10" s="8" t="s">
        <v>17</v>
      </c>
      <c r="H10" s="8" t="s">
        <v>17</v>
      </c>
      <c r="I10" s="8">
        <v>3102</v>
      </c>
      <c r="J10" s="8">
        <v>271</v>
      </c>
      <c r="K10" s="8">
        <v>844</v>
      </c>
      <c r="L10" s="8">
        <v>443.91650499999997</v>
      </c>
      <c r="M10" s="8">
        <v>122.396002</v>
      </c>
      <c r="N10" s="8">
        <v>18.089017999999999</v>
      </c>
      <c r="P10" s="8">
        <f t="shared" si="0"/>
        <v>0.24637605490496148</v>
      </c>
    </row>
    <row r="11" spans="1:16" x14ac:dyDescent="0.25">
      <c r="A11" s="8">
        <v>4</v>
      </c>
      <c r="B11" s="8" t="s">
        <v>20</v>
      </c>
      <c r="C11" s="8" t="s">
        <v>16</v>
      </c>
      <c r="D11" s="9">
        <v>1223375</v>
      </c>
      <c r="E11" s="9">
        <v>106258.232558</v>
      </c>
      <c r="F11" s="8">
        <v>360.12790699999999</v>
      </c>
      <c r="G11" s="8" t="s">
        <v>17</v>
      </c>
      <c r="H11" s="8" t="s">
        <v>17</v>
      </c>
      <c r="I11" s="8">
        <v>3102</v>
      </c>
      <c r="J11" s="8">
        <v>279</v>
      </c>
      <c r="K11" s="8">
        <v>638</v>
      </c>
      <c r="L11" s="8">
        <v>394.382656</v>
      </c>
      <c r="M11" s="8">
        <v>73.793447</v>
      </c>
      <c r="N11" s="8">
        <v>18.089017999999999</v>
      </c>
      <c r="P11" s="8">
        <f t="shared" si="0"/>
        <v>0.10673831917711499</v>
      </c>
    </row>
    <row r="12" spans="1:16" x14ac:dyDescent="0.25">
      <c r="A12" s="8">
        <v>5</v>
      </c>
      <c r="B12" s="8" t="s">
        <v>21</v>
      </c>
      <c r="C12" s="8" t="s">
        <v>16</v>
      </c>
      <c r="D12" s="9">
        <v>1148827</v>
      </c>
      <c r="E12" s="9">
        <v>69066.488372000007</v>
      </c>
      <c r="F12" s="8">
        <v>348.08527099999998</v>
      </c>
      <c r="G12" s="8" t="s">
        <v>17</v>
      </c>
      <c r="H12" s="8" t="s">
        <v>17</v>
      </c>
      <c r="I12" s="8">
        <v>3102</v>
      </c>
      <c r="J12" s="8">
        <v>278</v>
      </c>
      <c r="K12" s="8">
        <v>513</v>
      </c>
      <c r="L12" s="8">
        <v>370.35041899999999</v>
      </c>
      <c r="M12" s="8">
        <v>49.898187999999998</v>
      </c>
      <c r="N12" s="8">
        <v>18.089017999999999</v>
      </c>
      <c r="P12" s="8">
        <f t="shared" si="0"/>
        <v>6.9378538517183425E-2</v>
      </c>
    </row>
    <row r="13" spans="1:16" x14ac:dyDescent="0.25">
      <c r="A13" s="8">
        <v>6</v>
      </c>
      <c r="B13" s="8" t="s">
        <v>22</v>
      </c>
      <c r="C13" s="8" t="s">
        <v>16</v>
      </c>
      <c r="D13" s="9">
        <v>1099109</v>
      </c>
      <c r="E13" s="9">
        <v>43575.348836999998</v>
      </c>
      <c r="F13" s="8">
        <v>340.275194</v>
      </c>
      <c r="G13" s="8" t="s">
        <v>17</v>
      </c>
      <c r="H13" s="8" t="s">
        <v>17</v>
      </c>
      <c r="I13" s="8">
        <v>3102</v>
      </c>
      <c r="J13" s="8">
        <v>286</v>
      </c>
      <c r="K13" s="8">
        <v>490</v>
      </c>
      <c r="L13" s="8">
        <v>354.32269500000001</v>
      </c>
      <c r="M13" s="8">
        <v>39.436259</v>
      </c>
      <c r="N13" s="8">
        <v>18.089017999999999</v>
      </c>
      <c r="P13" s="8">
        <f t="shared" si="0"/>
        <v>4.3772227153120041E-2</v>
      </c>
    </row>
    <row r="14" spans="1:16" x14ac:dyDescent="0.25">
      <c r="A14" s="8">
        <v>7</v>
      </c>
      <c r="B14" s="8" t="s">
        <v>23</v>
      </c>
      <c r="C14" s="8" t="s">
        <v>16</v>
      </c>
      <c r="D14" s="9">
        <v>1092446</v>
      </c>
      <c r="E14" s="9">
        <v>40819.906976999999</v>
      </c>
      <c r="F14" s="8">
        <v>339.01550400000002</v>
      </c>
      <c r="G14" s="8" t="s">
        <v>17</v>
      </c>
      <c r="H14" s="8" t="s">
        <v>17</v>
      </c>
      <c r="I14" s="8">
        <v>3102</v>
      </c>
      <c r="J14" s="8">
        <v>268</v>
      </c>
      <c r="K14" s="8">
        <v>468</v>
      </c>
      <c r="L14" s="8">
        <v>352.17472600000002</v>
      </c>
      <c r="M14" s="8">
        <v>37.294103999999997</v>
      </c>
      <c r="N14" s="8">
        <v>18.089017999999999</v>
      </c>
      <c r="P14" s="8">
        <f t="shared" si="0"/>
        <v>4.1004335897577793E-2</v>
      </c>
    </row>
    <row r="15" spans="1:16" x14ac:dyDescent="0.25">
      <c r="A15" s="8">
        <v>8</v>
      </c>
      <c r="B15" s="8" t="s">
        <v>24</v>
      </c>
      <c r="C15" s="8" t="s">
        <v>16</v>
      </c>
      <c r="D15" s="9">
        <v>1104088</v>
      </c>
      <c r="E15" s="9">
        <v>36747.511628</v>
      </c>
      <c r="F15" s="8">
        <v>344.08139499999999</v>
      </c>
      <c r="G15" s="8" t="s">
        <v>17</v>
      </c>
      <c r="H15" s="8" t="s">
        <v>17</v>
      </c>
      <c r="I15" s="8">
        <v>3102</v>
      </c>
      <c r="J15" s="8">
        <v>277</v>
      </c>
      <c r="K15" s="8">
        <v>491</v>
      </c>
      <c r="L15" s="8">
        <v>355.92778900000002</v>
      </c>
      <c r="M15" s="8">
        <v>43.356520000000003</v>
      </c>
      <c r="N15" s="8">
        <v>18.089017999999999</v>
      </c>
      <c r="P15" s="8">
        <f t="shared" si="0"/>
        <v>3.6913541009382239E-2</v>
      </c>
    </row>
    <row r="16" spans="1:16" x14ac:dyDescent="0.25">
      <c r="A16" s="8">
        <v>9</v>
      </c>
      <c r="B16" s="8" t="s">
        <v>25</v>
      </c>
      <c r="C16" s="8" t="s">
        <v>16</v>
      </c>
      <c r="D16" s="9">
        <v>3558005</v>
      </c>
      <c r="E16" s="9">
        <v>1693366.3488370001</v>
      </c>
      <c r="F16" s="8">
        <v>601.10852699999998</v>
      </c>
      <c r="G16" s="8" t="s">
        <v>17</v>
      </c>
      <c r="H16" s="8" t="s">
        <v>17</v>
      </c>
      <c r="I16" s="8">
        <v>3102</v>
      </c>
      <c r="J16" s="8">
        <v>289</v>
      </c>
      <c r="K16" s="9">
        <v>3935</v>
      </c>
      <c r="L16" s="9">
        <v>1147.0035459999999</v>
      </c>
      <c r="M16" s="8">
        <v>856.57204999999999</v>
      </c>
      <c r="N16" s="8">
        <v>18.089017999999999</v>
      </c>
      <c r="P16">
        <f>E16/1693366.348837</f>
        <v>1</v>
      </c>
    </row>
    <row r="17" spans="1:16" x14ac:dyDescent="0.25">
      <c r="A17" s="8">
        <v>10</v>
      </c>
      <c r="B17" s="8" t="s">
        <v>26</v>
      </c>
      <c r="C17" s="8" t="s">
        <v>16</v>
      </c>
      <c r="D17" s="9">
        <v>3083834</v>
      </c>
      <c r="E17" s="9">
        <v>1336891</v>
      </c>
      <c r="F17" s="8">
        <v>563.16666699999996</v>
      </c>
      <c r="G17" s="8" t="s">
        <v>17</v>
      </c>
      <c r="H17" s="8" t="s">
        <v>17</v>
      </c>
      <c r="I17" s="8">
        <v>3102</v>
      </c>
      <c r="J17" s="8">
        <v>284</v>
      </c>
      <c r="K17" s="9">
        <v>3109</v>
      </c>
      <c r="L17" s="8">
        <v>994.143778</v>
      </c>
      <c r="M17" s="8">
        <v>648.48016099999995</v>
      </c>
      <c r="N17" s="8">
        <v>18.089017999999999</v>
      </c>
      <c r="P17" s="8">
        <f t="shared" ref="P17:P23" si="1">E17/1693366.348837</f>
        <v>0.78948716615171521</v>
      </c>
    </row>
    <row r="18" spans="1:16" x14ac:dyDescent="0.25">
      <c r="A18" s="8">
        <v>11</v>
      </c>
      <c r="B18" s="8" t="s">
        <v>27</v>
      </c>
      <c r="C18" s="8" t="s">
        <v>16</v>
      </c>
      <c r="D18" s="9">
        <v>2507706</v>
      </c>
      <c r="E18" s="9">
        <v>1125813.0930230001</v>
      </c>
      <c r="F18" s="8">
        <v>445.48449599999998</v>
      </c>
      <c r="G18" s="8" t="s">
        <v>17</v>
      </c>
      <c r="H18" s="8" t="s">
        <v>17</v>
      </c>
      <c r="I18" s="8">
        <v>3102</v>
      </c>
      <c r="J18" s="8">
        <v>285</v>
      </c>
      <c r="K18" s="9">
        <v>2643</v>
      </c>
      <c r="L18" s="8">
        <v>808.41586099999995</v>
      </c>
      <c r="M18" s="8">
        <v>533.24011299999995</v>
      </c>
      <c r="N18" s="8">
        <v>18.089017999999999</v>
      </c>
      <c r="P18" s="8">
        <f t="shared" si="1"/>
        <v>0.66483728922344876</v>
      </c>
    </row>
    <row r="19" spans="1:16" x14ac:dyDescent="0.25">
      <c r="A19" s="8">
        <v>12</v>
      </c>
      <c r="B19" s="8" t="s">
        <v>28</v>
      </c>
      <c r="C19" s="8" t="s">
        <v>16</v>
      </c>
      <c r="D19" s="9">
        <v>2177815</v>
      </c>
      <c r="E19" s="9">
        <v>778488.37209299998</v>
      </c>
      <c r="F19" s="8">
        <v>451.10465099999999</v>
      </c>
      <c r="G19" s="8" t="s">
        <v>17</v>
      </c>
      <c r="H19" s="8" t="s">
        <v>17</v>
      </c>
      <c r="I19" s="8">
        <v>3102</v>
      </c>
      <c r="J19" s="8">
        <v>290</v>
      </c>
      <c r="K19" s="9">
        <v>1994</v>
      </c>
      <c r="L19" s="8">
        <v>702.06802100000004</v>
      </c>
      <c r="M19" s="8">
        <v>389.18481300000002</v>
      </c>
      <c r="N19" s="8">
        <v>18.089017999999999</v>
      </c>
      <c r="P19" s="8">
        <f t="shared" si="1"/>
        <v>0.45972826413354906</v>
      </c>
    </row>
    <row r="20" spans="1:16" x14ac:dyDescent="0.25">
      <c r="A20" s="8">
        <v>13</v>
      </c>
      <c r="B20" s="8" t="s">
        <v>29</v>
      </c>
      <c r="C20" s="8" t="s">
        <v>16</v>
      </c>
      <c r="D20" s="9">
        <v>1529116</v>
      </c>
      <c r="E20" s="9">
        <v>154473.11627900001</v>
      </c>
      <c r="F20" s="8">
        <v>443.14728700000001</v>
      </c>
      <c r="G20" s="8" t="s">
        <v>17</v>
      </c>
      <c r="H20" s="8" t="s">
        <v>17</v>
      </c>
      <c r="I20" s="8">
        <v>3102</v>
      </c>
      <c r="J20" s="8">
        <v>274</v>
      </c>
      <c r="K20" s="9">
        <v>1170</v>
      </c>
      <c r="L20" s="8">
        <v>492.94519700000001</v>
      </c>
      <c r="M20" s="8">
        <v>201.046829</v>
      </c>
      <c r="N20" s="8">
        <v>18.089017999999999</v>
      </c>
      <c r="P20" s="8">
        <f t="shared" si="1"/>
        <v>9.1222502670548392E-2</v>
      </c>
    </row>
    <row r="21" spans="1:16" x14ac:dyDescent="0.25">
      <c r="A21" s="8">
        <v>14</v>
      </c>
      <c r="B21" s="8" t="s">
        <v>30</v>
      </c>
      <c r="C21" s="8" t="s">
        <v>16</v>
      </c>
      <c r="D21" s="9">
        <v>1160097</v>
      </c>
      <c r="E21" s="9">
        <v>22119.883720999998</v>
      </c>
      <c r="F21" s="8">
        <v>366.85271299999999</v>
      </c>
      <c r="G21" s="8" t="s">
        <v>17</v>
      </c>
      <c r="H21" s="8" t="s">
        <v>17</v>
      </c>
      <c r="I21" s="8">
        <v>3102</v>
      </c>
      <c r="J21" s="8">
        <v>246</v>
      </c>
      <c r="K21" s="8">
        <v>653</v>
      </c>
      <c r="L21" s="8">
        <v>373.98355900000001</v>
      </c>
      <c r="M21" s="8">
        <v>72.997726</v>
      </c>
      <c r="N21" s="8">
        <v>18.089017999999999</v>
      </c>
      <c r="P21" s="8">
        <f t="shared" si="1"/>
        <v>1.3062668769927949E-2</v>
      </c>
    </row>
    <row r="22" spans="1:16" x14ac:dyDescent="0.25">
      <c r="A22" s="8">
        <v>15</v>
      </c>
      <c r="B22" s="8" t="s">
        <v>31</v>
      </c>
      <c r="C22" s="8" t="s">
        <v>16</v>
      </c>
      <c r="D22" s="9">
        <v>1152024</v>
      </c>
      <c r="E22" s="9">
        <v>56957.883720999998</v>
      </c>
      <c r="F22" s="8">
        <v>353.01938000000001</v>
      </c>
      <c r="G22" s="8" t="s">
        <v>17</v>
      </c>
      <c r="H22" s="8" t="s">
        <v>17</v>
      </c>
      <c r="I22" s="8">
        <v>3102</v>
      </c>
      <c r="J22" s="8">
        <v>251</v>
      </c>
      <c r="K22" s="8">
        <v>499</v>
      </c>
      <c r="L22" s="8">
        <v>371.38104399999997</v>
      </c>
      <c r="M22" s="8">
        <v>55.730179</v>
      </c>
      <c r="N22" s="8">
        <v>18.089017999999999</v>
      </c>
      <c r="P22" s="8">
        <f t="shared" si="1"/>
        <v>3.3635889693992407E-2</v>
      </c>
    </row>
    <row r="23" spans="1:16" x14ac:dyDescent="0.25">
      <c r="A23" s="8">
        <v>16</v>
      </c>
      <c r="B23" s="8" t="s">
        <v>32</v>
      </c>
      <c r="C23" s="8" t="s">
        <v>16</v>
      </c>
      <c r="D23" s="9">
        <v>1059081</v>
      </c>
      <c r="E23" s="9">
        <v>54177.279069999997</v>
      </c>
      <c r="F23" s="8">
        <v>323.95348799999999</v>
      </c>
      <c r="G23" s="8" t="s">
        <v>17</v>
      </c>
      <c r="H23" s="8" t="s">
        <v>17</v>
      </c>
      <c r="I23" s="8">
        <v>3102</v>
      </c>
      <c r="J23" s="8">
        <v>239</v>
      </c>
      <c r="K23" s="8">
        <v>466</v>
      </c>
      <c r="L23" s="8">
        <v>341.41876200000002</v>
      </c>
      <c r="M23" s="8">
        <v>46.368665999999997</v>
      </c>
      <c r="N23" s="8">
        <v>18.089017999999999</v>
      </c>
      <c r="P23" s="8">
        <f t="shared" si="1"/>
        <v>3.1993832348923681E-2</v>
      </c>
    </row>
    <row r="24" spans="1:16" x14ac:dyDescent="0.25">
      <c r="A24" s="8">
        <v>17</v>
      </c>
      <c r="B24" s="8" t="s">
        <v>33</v>
      </c>
      <c r="C24" s="8" t="s">
        <v>16</v>
      </c>
      <c r="D24" s="9">
        <v>3505206</v>
      </c>
      <c r="E24" s="9">
        <v>1831809.255814</v>
      </c>
      <c r="F24" s="8">
        <v>539.45736399999998</v>
      </c>
      <c r="G24" s="8" t="s">
        <v>17</v>
      </c>
      <c r="H24" s="8" t="s">
        <v>17</v>
      </c>
      <c r="I24" s="8">
        <v>3102</v>
      </c>
      <c r="J24" s="8">
        <v>258</v>
      </c>
      <c r="K24" s="9">
        <v>3821</v>
      </c>
      <c r="L24" s="9">
        <v>1129.9825920000001</v>
      </c>
      <c r="M24" s="8">
        <v>885.48490200000003</v>
      </c>
      <c r="N24" s="8">
        <v>18.089017999999999</v>
      </c>
      <c r="P24">
        <f>E24/1831809.255814</f>
        <v>1</v>
      </c>
    </row>
    <row r="25" spans="1:16" x14ac:dyDescent="0.25">
      <c r="A25" s="8">
        <v>18</v>
      </c>
      <c r="B25" s="8" t="s">
        <v>34</v>
      </c>
      <c r="C25" s="8" t="s">
        <v>16</v>
      </c>
      <c r="D25" s="9">
        <v>3374086</v>
      </c>
      <c r="E25" s="9">
        <v>1715537.9767440001</v>
      </c>
      <c r="F25" s="8">
        <v>534.67054299999995</v>
      </c>
      <c r="G25" s="8" t="s">
        <v>17</v>
      </c>
      <c r="H25" s="8" t="s">
        <v>17</v>
      </c>
      <c r="I25" s="8">
        <v>3102</v>
      </c>
      <c r="J25" s="8">
        <v>250</v>
      </c>
      <c r="K25" s="9">
        <v>3590</v>
      </c>
      <c r="L25" s="9">
        <v>1087.713088</v>
      </c>
      <c r="M25" s="8">
        <v>837.89857400000005</v>
      </c>
      <c r="N25" s="8">
        <v>18.089017999999999</v>
      </c>
      <c r="P25" s="8">
        <f t="shared" ref="P25:P31" si="2">E25/1831809.255814</f>
        <v>0.93652653588196189</v>
      </c>
    </row>
    <row r="26" spans="1:16" x14ac:dyDescent="0.25">
      <c r="A26" s="8">
        <v>19</v>
      </c>
      <c r="B26" s="8" t="s">
        <v>35</v>
      </c>
      <c r="C26" s="8" t="s">
        <v>16</v>
      </c>
      <c r="D26" s="9">
        <v>3339521</v>
      </c>
      <c r="E26" s="9">
        <v>1807325.372093</v>
      </c>
      <c r="F26" s="8">
        <v>493.93798399999997</v>
      </c>
      <c r="G26" s="8" t="s">
        <v>17</v>
      </c>
      <c r="H26" s="8" t="s">
        <v>17</v>
      </c>
      <c r="I26" s="8">
        <v>3102</v>
      </c>
      <c r="J26" s="8">
        <v>283</v>
      </c>
      <c r="K26" s="9">
        <v>3572</v>
      </c>
      <c r="L26" s="9">
        <v>1076.570277</v>
      </c>
      <c r="M26" s="8">
        <v>795.72559100000001</v>
      </c>
      <c r="N26" s="8">
        <v>18.089017999999999</v>
      </c>
      <c r="P26" s="8">
        <f t="shared" si="2"/>
        <v>0.98663404301332669</v>
      </c>
    </row>
    <row r="27" spans="1:16" x14ac:dyDescent="0.25">
      <c r="A27" s="8">
        <v>20</v>
      </c>
      <c r="B27" s="8" t="s">
        <v>36</v>
      </c>
      <c r="C27" s="8" t="s">
        <v>16</v>
      </c>
      <c r="D27" s="9">
        <v>3012144</v>
      </c>
      <c r="E27" s="9">
        <v>1576531.1860470001</v>
      </c>
      <c r="F27" s="8">
        <v>462.80232599999999</v>
      </c>
      <c r="G27" s="8" t="s">
        <v>17</v>
      </c>
      <c r="H27" s="8" t="s">
        <v>17</v>
      </c>
      <c r="I27" s="8">
        <v>3102</v>
      </c>
      <c r="J27" s="8">
        <v>274</v>
      </c>
      <c r="K27" s="9">
        <v>3005</v>
      </c>
      <c r="L27" s="8">
        <v>971.03288199999997</v>
      </c>
      <c r="M27" s="8">
        <v>664.75588300000004</v>
      </c>
      <c r="N27" s="8">
        <v>18.089017999999999</v>
      </c>
      <c r="P27" s="8">
        <f t="shared" si="2"/>
        <v>0.86064156573247463</v>
      </c>
    </row>
    <row r="28" spans="1:16" x14ac:dyDescent="0.25">
      <c r="A28" s="8">
        <v>21</v>
      </c>
      <c r="B28" s="8" t="s">
        <v>37</v>
      </c>
      <c r="C28" s="8" t="s">
        <v>16</v>
      </c>
      <c r="D28" s="9">
        <v>2580777</v>
      </c>
      <c r="E28" s="9">
        <v>1289515.3953490001</v>
      </c>
      <c r="F28" s="8">
        <v>416.26744200000002</v>
      </c>
      <c r="G28" s="8" t="s">
        <v>17</v>
      </c>
      <c r="H28" s="8" t="s">
        <v>17</v>
      </c>
      <c r="I28" s="8">
        <v>3102</v>
      </c>
      <c r="J28" s="8">
        <v>266</v>
      </c>
      <c r="K28" s="9">
        <v>2489</v>
      </c>
      <c r="L28" s="8">
        <v>831.97195399999998</v>
      </c>
      <c r="M28" s="8">
        <v>548.78896099999997</v>
      </c>
      <c r="N28" s="8">
        <v>18.089017999999999</v>
      </c>
      <c r="P28" s="8">
        <f t="shared" si="2"/>
        <v>0.70395724405048865</v>
      </c>
    </row>
    <row r="29" spans="1:16" x14ac:dyDescent="0.25">
      <c r="A29" s="8">
        <v>22</v>
      </c>
      <c r="B29" s="8" t="s">
        <v>38</v>
      </c>
      <c r="C29" s="8" t="s">
        <v>16</v>
      </c>
      <c r="D29" s="9">
        <v>1839163</v>
      </c>
      <c r="E29" s="9">
        <v>651722.209302</v>
      </c>
      <c r="F29" s="8">
        <v>382.79845</v>
      </c>
      <c r="G29" s="8" t="s">
        <v>17</v>
      </c>
      <c r="H29" s="8" t="s">
        <v>17</v>
      </c>
      <c r="I29" s="8">
        <v>3102</v>
      </c>
      <c r="J29" s="8">
        <v>269</v>
      </c>
      <c r="K29" s="9">
        <v>1516</v>
      </c>
      <c r="L29" s="8">
        <v>592.89587400000005</v>
      </c>
      <c r="M29" s="8">
        <v>286.47666299999997</v>
      </c>
      <c r="N29" s="8">
        <v>18.089017999999999</v>
      </c>
      <c r="P29" s="8">
        <f t="shared" si="2"/>
        <v>0.35578060719667809</v>
      </c>
    </row>
    <row r="30" spans="1:16" x14ac:dyDescent="0.25">
      <c r="A30" s="8">
        <v>23</v>
      </c>
      <c r="B30" s="8" t="s">
        <v>39</v>
      </c>
      <c r="C30" s="8" t="s">
        <v>16</v>
      </c>
      <c r="D30" s="9">
        <v>1558345</v>
      </c>
      <c r="E30" s="9">
        <v>397006.697674</v>
      </c>
      <c r="F30" s="8">
        <v>374.38372099999998</v>
      </c>
      <c r="G30" s="8" t="s">
        <v>17</v>
      </c>
      <c r="H30" s="8" t="s">
        <v>17</v>
      </c>
      <c r="I30" s="8">
        <v>3102</v>
      </c>
      <c r="J30" s="8">
        <v>247</v>
      </c>
      <c r="K30" s="9">
        <v>1040</v>
      </c>
      <c r="L30" s="8">
        <v>502.36782699999998</v>
      </c>
      <c r="M30" s="8">
        <v>184.42123699999999</v>
      </c>
      <c r="N30" s="8">
        <v>18.089017999999999</v>
      </c>
      <c r="P30" s="8">
        <f t="shared" si="2"/>
        <v>0.21672927812431123</v>
      </c>
    </row>
    <row r="31" spans="1:16" x14ac:dyDescent="0.25">
      <c r="A31" s="8">
        <v>24</v>
      </c>
      <c r="B31" s="8" t="s">
        <v>40</v>
      </c>
      <c r="C31" s="8" t="s">
        <v>16</v>
      </c>
      <c r="D31" s="9">
        <v>1538866</v>
      </c>
      <c r="E31" s="9">
        <v>352086.48837199999</v>
      </c>
      <c r="F31" s="8">
        <v>382.58527099999998</v>
      </c>
      <c r="G31" s="8" t="s">
        <v>17</v>
      </c>
      <c r="H31" s="8" t="s">
        <v>17</v>
      </c>
      <c r="I31" s="8">
        <v>3102</v>
      </c>
      <c r="J31" s="8">
        <v>256</v>
      </c>
      <c r="K31" s="9">
        <v>1001</v>
      </c>
      <c r="L31" s="8">
        <v>496.08832999999998</v>
      </c>
      <c r="M31" s="8">
        <v>176.561206</v>
      </c>
      <c r="N31" s="8">
        <v>18.089017999999999</v>
      </c>
      <c r="P31" s="8">
        <f t="shared" si="2"/>
        <v>0.19220696000662116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A3" sqref="A3:A5"/>
    </sheetView>
  </sheetViews>
  <sheetFormatPr defaultRowHeight="15" x14ac:dyDescent="0.25"/>
  <cols>
    <col min="4" max="4" width="14.7109375" customWidth="1"/>
    <col min="5" max="5" width="12.5703125" customWidth="1"/>
  </cols>
  <sheetData>
    <row r="1" spans="1:16" x14ac:dyDescent="0.25">
      <c r="A1" s="2" t="s">
        <v>51</v>
      </c>
    </row>
    <row r="3" spans="1:16" x14ac:dyDescent="0.25">
      <c r="A3" s="6" t="s">
        <v>46</v>
      </c>
    </row>
    <row r="4" spans="1:16" x14ac:dyDescent="0.25">
      <c r="A4" s="6" t="s">
        <v>47</v>
      </c>
    </row>
    <row r="5" spans="1:16" x14ac:dyDescent="0.25">
      <c r="A5" s="6" t="s">
        <v>48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6" s="6" customFormat="1" x14ac:dyDescent="0.25"/>
    <row r="7" spans="1:16" x14ac:dyDescent="0.25">
      <c r="A7" s="6" t="s">
        <v>1</v>
      </c>
      <c r="B7" s="6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P7" t="s">
        <v>44</v>
      </c>
    </row>
    <row r="8" spans="1:16" x14ac:dyDescent="0.25">
      <c r="A8" s="6">
        <v>1</v>
      </c>
      <c r="B8" s="6" t="s">
        <v>15</v>
      </c>
      <c r="C8" s="6" t="s">
        <v>16</v>
      </c>
      <c r="D8" s="7">
        <v>2981168</v>
      </c>
      <c r="E8" s="7">
        <v>1349155.3023260001</v>
      </c>
      <c r="F8" s="6">
        <v>526.11627899999996</v>
      </c>
      <c r="G8" s="6" t="s">
        <v>17</v>
      </c>
      <c r="H8" s="6" t="s">
        <v>17</v>
      </c>
      <c r="I8" s="6">
        <v>3102</v>
      </c>
      <c r="J8" s="6">
        <v>325</v>
      </c>
      <c r="K8" s="7">
        <v>2114</v>
      </c>
      <c r="L8" s="6">
        <v>961.04706599999997</v>
      </c>
      <c r="M8" s="6">
        <v>446.80187100000001</v>
      </c>
      <c r="N8" s="6">
        <v>18.089017999999999</v>
      </c>
      <c r="P8">
        <f>E8/1349155.302326</f>
        <v>1</v>
      </c>
    </row>
    <row r="9" spans="1:16" x14ac:dyDescent="0.25">
      <c r="A9" s="6">
        <v>2</v>
      </c>
      <c r="B9" s="6" t="s">
        <v>18</v>
      </c>
      <c r="C9" s="6" t="s">
        <v>16</v>
      </c>
      <c r="D9" s="7">
        <v>2936850</v>
      </c>
      <c r="E9" s="7">
        <v>1352954.372093</v>
      </c>
      <c r="F9" s="6">
        <v>510.60465099999999</v>
      </c>
      <c r="G9" s="6" t="s">
        <v>17</v>
      </c>
      <c r="H9" s="6" t="s">
        <v>17</v>
      </c>
      <c r="I9" s="6">
        <v>3102</v>
      </c>
      <c r="J9" s="6">
        <v>316</v>
      </c>
      <c r="K9" s="7">
        <v>2474</v>
      </c>
      <c r="L9" s="6">
        <v>946.76015500000005</v>
      </c>
      <c r="M9" s="6">
        <v>544.16360999999995</v>
      </c>
      <c r="N9" s="6">
        <v>18.089017999999999</v>
      </c>
      <c r="P9" s="8">
        <f t="shared" ref="P9:P15" si="0">E9/1349155.302326</f>
        <v>1.0028158876598197</v>
      </c>
    </row>
    <row r="10" spans="1:16" x14ac:dyDescent="0.25">
      <c r="A10" s="6">
        <v>3</v>
      </c>
      <c r="B10" s="6" t="s">
        <v>19</v>
      </c>
      <c r="C10" s="6" t="s">
        <v>16</v>
      </c>
      <c r="D10" s="7">
        <v>2686331</v>
      </c>
      <c r="E10" s="7">
        <v>1142677.209302</v>
      </c>
      <c r="F10" s="6">
        <v>497.63178299999998</v>
      </c>
      <c r="G10" s="6" t="s">
        <v>17</v>
      </c>
      <c r="H10" s="6" t="s">
        <v>17</v>
      </c>
      <c r="I10" s="6">
        <v>3102</v>
      </c>
      <c r="J10" s="6">
        <v>301</v>
      </c>
      <c r="K10" s="7">
        <v>2062</v>
      </c>
      <c r="L10" s="6">
        <v>865.99967800000002</v>
      </c>
      <c r="M10" s="6">
        <v>417.48883699999999</v>
      </c>
      <c r="N10" s="6">
        <v>18.089017999999999</v>
      </c>
      <c r="P10" s="8">
        <f t="shared" si="0"/>
        <v>0.84695750543467963</v>
      </c>
    </row>
    <row r="11" spans="1:16" x14ac:dyDescent="0.25">
      <c r="A11" s="6">
        <v>4</v>
      </c>
      <c r="B11" s="6" t="s">
        <v>20</v>
      </c>
      <c r="C11" s="6" t="s">
        <v>16</v>
      </c>
      <c r="D11" s="7">
        <v>2609953</v>
      </c>
      <c r="E11" s="7">
        <v>1112396.372093</v>
      </c>
      <c r="F11" s="6">
        <v>482.77131800000001</v>
      </c>
      <c r="G11" s="6" t="s">
        <v>17</v>
      </c>
      <c r="H11" s="6" t="s">
        <v>17</v>
      </c>
      <c r="I11" s="6">
        <v>3102</v>
      </c>
      <c r="J11" s="6">
        <v>299</v>
      </c>
      <c r="K11" s="7">
        <v>2073</v>
      </c>
      <c r="L11" s="6">
        <v>841.37749799999995</v>
      </c>
      <c r="M11" s="6">
        <v>451.29953699999999</v>
      </c>
      <c r="N11" s="6">
        <v>18.089017999999999</v>
      </c>
      <c r="P11" s="8">
        <f t="shared" si="0"/>
        <v>0.82451321221150908</v>
      </c>
    </row>
    <row r="12" spans="1:16" x14ac:dyDescent="0.25">
      <c r="A12" s="6">
        <v>5</v>
      </c>
      <c r="B12" s="6" t="s">
        <v>21</v>
      </c>
      <c r="C12" s="6" t="s">
        <v>16</v>
      </c>
      <c r="D12" s="7">
        <v>2395911</v>
      </c>
      <c r="E12" s="7">
        <v>930203.97674399999</v>
      </c>
      <c r="F12" s="6">
        <v>472.50387599999999</v>
      </c>
      <c r="G12" s="6" t="s">
        <v>17</v>
      </c>
      <c r="H12" s="6" t="s">
        <v>17</v>
      </c>
      <c r="I12" s="6">
        <v>3102</v>
      </c>
      <c r="J12" s="6">
        <v>312</v>
      </c>
      <c r="K12" s="7">
        <v>1643</v>
      </c>
      <c r="L12" s="6">
        <v>772.37620900000002</v>
      </c>
      <c r="M12" s="6">
        <v>320.785776</v>
      </c>
      <c r="N12" s="6">
        <v>18.089017999999999</v>
      </c>
      <c r="P12" s="8">
        <f t="shared" si="0"/>
        <v>0.68947138638545868</v>
      </c>
    </row>
    <row r="13" spans="1:16" x14ac:dyDescent="0.25">
      <c r="A13" s="6">
        <v>6</v>
      </c>
      <c r="B13" s="6" t="s">
        <v>22</v>
      </c>
      <c r="C13" s="6" t="s">
        <v>16</v>
      </c>
      <c r="D13" s="7">
        <v>1677052</v>
      </c>
      <c r="E13" s="7">
        <v>389673.90697700001</v>
      </c>
      <c r="F13" s="6">
        <v>415.01550400000002</v>
      </c>
      <c r="G13" s="6" t="s">
        <v>17</v>
      </c>
      <c r="H13" s="6" t="s">
        <v>17</v>
      </c>
      <c r="I13" s="6">
        <v>3102</v>
      </c>
      <c r="J13" s="6">
        <v>286</v>
      </c>
      <c r="K13" s="7">
        <v>1055</v>
      </c>
      <c r="L13" s="6">
        <v>540.63571899999999</v>
      </c>
      <c r="M13" s="6">
        <v>175.641808</v>
      </c>
      <c r="N13" s="6">
        <v>18.089017999999999</v>
      </c>
      <c r="P13" s="8">
        <f t="shared" si="0"/>
        <v>0.28882805878995987</v>
      </c>
    </row>
    <row r="14" spans="1:16" x14ac:dyDescent="0.25">
      <c r="A14" s="6">
        <v>7</v>
      </c>
      <c r="B14" s="6" t="s">
        <v>23</v>
      </c>
      <c r="C14" s="6" t="s">
        <v>16</v>
      </c>
      <c r="D14" s="7">
        <v>1441184</v>
      </c>
      <c r="E14" s="7">
        <v>160178.23255799999</v>
      </c>
      <c r="F14" s="6">
        <v>412.96123999999998</v>
      </c>
      <c r="G14" s="6" t="s">
        <v>17</v>
      </c>
      <c r="H14" s="6" t="s">
        <v>17</v>
      </c>
      <c r="I14" s="6">
        <v>3102</v>
      </c>
      <c r="J14" s="6">
        <v>307</v>
      </c>
      <c r="K14" s="6">
        <v>699</v>
      </c>
      <c r="L14" s="6">
        <v>464.59832399999999</v>
      </c>
      <c r="M14" s="6">
        <v>90.260328999999999</v>
      </c>
      <c r="N14" s="6">
        <v>18.089017999999999</v>
      </c>
      <c r="P14" s="8">
        <f t="shared" si="0"/>
        <v>0.11872482899622158</v>
      </c>
    </row>
    <row r="15" spans="1:16" x14ac:dyDescent="0.25">
      <c r="A15" s="6">
        <v>8</v>
      </c>
      <c r="B15" s="6" t="s">
        <v>24</v>
      </c>
      <c r="C15" s="6" t="s">
        <v>16</v>
      </c>
      <c r="D15" s="7">
        <v>1309312</v>
      </c>
      <c r="E15" s="7">
        <v>59181.953487999999</v>
      </c>
      <c r="F15" s="6">
        <v>403.00775199999998</v>
      </c>
      <c r="G15" s="6" t="s">
        <v>17</v>
      </c>
      <c r="H15" s="6" t="s">
        <v>17</v>
      </c>
      <c r="I15" s="6">
        <v>3102</v>
      </c>
      <c r="J15" s="6">
        <v>277</v>
      </c>
      <c r="K15" s="6">
        <v>570</v>
      </c>
      <c r="L15" s="6">
        <v>422.08639599999998</v>
      </c>
      <c r="M15" s="6">
        <v>63.551141000000001</v>
      </c>
      <c r="N15" s="6">
        <v>18.089017999999999</v>
      </c>
      <c r="P15" s="8">
        <f t="shared" si="0"/>
        <v>4.3865931065139675E-2</v>
      </c>
    </row>
    <row r="16" spans="1:16" x14ac:dyDescent="0.25">
      <c r="A16" s="6">
        <v>9</v>
      </c>
      <c r="B16" s="6" t="s">
        <v>25</v>
      </c>
      <c r="C16" s="6" t="s">
        <v>16</v>
      </c>
      <c r="D16" s="7">
        <v>3396388</v>
      </c>
      <c r="E16" s="7">
        <v>1700231.2325579999</v>
      </c>
      <c r="F16" s="6">
        <v>546.79457400000001</v>
      </c>
      <c r="G16" s="6" t="s">
        <v>17</v>
      </c>
      <c r="H16" s="6" t="s">
        <v>17</v>
      </c>
      <c r="I16" s="6">
        <v>3102</v>
      </c>
      <c r="J16" s="6">
        <v>303</v>
      </c>
      <c r="K16" s="7">
        <v>2723</v>
      </c>
      <c r="L16" s="7">
        <v>1094.9026429999999</v>
      </c>
      <c r="M16" s="6">
        <v>666.87000999999998</v>
      </c>
      <c r="N16" s="6">
        <v>18.089017999999999</v>
      </c>
      <c r="P16">
        <f>E16/1700231.232558</f>
        <v>1</v>
      </c>
    </row>
    <row r="17" spans="1:16" x14ac:dyDescent="0.25">
      <c r="A17" s="6">
        <v>10</v>
      </c>
      <c r="B17" s="6" t="s">
        <v>26</v>
      </c>
      <c r="C17" s="6" t="s">
        <v>16</v>
      </c>
      <c r="D17" s="7">
        <v>3338723</v>
      </c>
      <c r="E17" s="7">
        <v>1685934.116279</v>
      </c>
      <c r="F17" s="6">
        <v>532.81395299999997</v>
      </c>
      <c r="G17" s="6" t="s">
        <v>17</v>
      </c>
      <c r="H17" s="6" t="s">
        <v>17</v>
      </c>
      <c r="I17" s="6">
        <v>3102</v>
      </c>
      <c r="J17" s="6">
        <v>308</v>
      </c>
      <c r="K17" s="7">
        <v>2732</v>
      </c>
      <c r="L17" s="7">
        <v>1076.313024</v>
      </c>
      <c r="M17" s="6">
        <v>641.69539299999997</v>
      </c>
      <c r="N17" s="6">
        <v>18.089017999999999</v>
      </c>
      <c r="P17" s="8">
        <f t="shared" ref="P17:P23" si="1">E17/1700231.232558</f>
        <v>0.99159107537538294</v>
      </c>
    </row>
    <row r="18" spans="1:16" x14ac:dyDescent="0.25">
      <c r="A18" s="6">
        <v>11</v>
      </c>
      <c r="B18" s="6" t="s">
        <v>27</v>
      </c>
      <c r="C18" s="6" t="s">
        <v>16</v>
      </c>
      <c r="D18" s="7">
        <v>3214388</v>
      </c>
      <c r="E18" s="7">
        <v>1582050.674419</v>
      </c>
      <c r="F18" s="6">
        <v>526.22092999999995</v>
      </c>
      <c r="G18" s="6" t="s">
        <v>17</v>
      </c>
      <c r="H18" s="6" t="s">
        <v>17</v>
      </c>
      <c r="I18" s="6">
        <v>3102</v>
      </c>
      <c r="J18" s="6">
        <v>300</v>
      </c>
      <c r="K18" s="7">
        <v>2670</v>
      </c>
      <c r="L18" s="7">
        <v>1036.2308190000001</v>
      </c>
      <c r="M18" s="6">
        <v>638.840644</v>
      </c>
      <c r="N18" s="6">
        <v>18.089017999999999</v>
      </c>
      <c r="P18" s="8">
        <f t="shared" si="1"/>
        <v>0.93049147911416907</v>
      </c>
    </row>
    <row r="19" spans="1:16" x14ac:dyDescent="0.25">
      <c r="A19" s="6">
        <v>12</v>
      </c>
      <c r="B19" s="6" t="s">
        <v>28</v>
      </c>
      <c r="C19" s="6" t="s">
        <v>16</v>
      </c>
      <c r="D19" s="7">
        <v>3160849</v>
      </c>
      <c r="E19" s="7">
        <v>1584131.255814</v>
      </c>
      <c r="F19" s="6">
        <v>508.29069800000002</v>
      </c>
      <c r="G19" s="6" t="s">
        <v>17</v>
      </c>
      <c r="H19" s="6" t="s">
        <v>17</v>
      </c>
      <c r="I19" s="6">
        <v>3102</v>
      </c>
      <c r="J19" s="6">
        <v>287</v>
      </c>
      <c r="K19" s="7">
        <v>2549</v>
      </c>
      <c r="L19" s="7">
        <v>1018.971309</v>
      </c>
      <c r="M19" s="6">
        <v>601.7758</v>
      </c>
      <c r="N19" s="6">
        <v>18.089017999999999</v>
      </c>
      <c r="P19" s="8">
        <f t="shared" si="1"/>
        <v>0.93171518407568166</v>
      </c>
    </row>
    <row r="20" spans="1:16" x14ac:dyDescent="0.25">
      <c r="A20" s="6">
        <v>13</v>
      </c>
      <c r="B20" s="6" t="s">
        <v>29</v>
      </c>
      <c r="C20" s="6" t="s">
        <v>16</v>
      </c>
      <c r="D20" s="7">
        <v>3031016</v>
      </c>
      <c r="E20" s="7">
        <v>1369281.8139529999</v>
      </c>
      <c r="F20" s="6">
        <v>535.69767400000001</v>
      </c>
      <c r="G20" s="6" t="s">
        <v>17</v>
      </c>
      <c r="H20" s="6" t="s">
        <v>17</v>
      </c>
      <c r="I20" s="6">
        <v>3102</v>
      </c>
      <c r="J20" s="6">
        <v>287</v>
      </c>
      <c r="K20" s="7">
        <v>2641</v>
      </c>
      <c r="L20" s="6">
        <v>977.11669900000004</v>
      </c>
      <c r="M20" s="6">
        <v>563.33533999999997</v>
      </c>
      <c r="N20" s="6">
        <v>18.089017999999999</v>
      </c>
      <c r="P20" s="8">
        <f t="shared" si="1"/>
        <v>0.80535034748944934</v>
      </c>
    </row>
    <row r="21" spans="1:16" x14ac:dyDescent="0.25">
      <c r="A21" s="6">
        <v>14</v>
      </c>
      <c r="B21" s="6" t="s">
        <v>30</v>
      </c>
      <c r="C21" s="6" t="s">
        <v>16</v>
      </c>
      <c r="D21" s="7">
        <v>2506378</v>
      </c>
      <c r="E21" s="7">
        <v>1066424.790698</v>
      </c>
      <c r="F21" s="6">
        <v>464.20155</v>
      </c>
      <c r="G21" s="6" t="s">
        <v>17</v>
      </c>
      <c r="H21" s="6" t="s">
        <v>17</v>
      </c>
      <c r="I21" s="6">
        <v>3102</v>
      </c>
      <c r="J21" s="6">
        <v>284</v>
      </c>
      <c r="K21" s="7">
        <v>1790</v>
      </c>
      <c r="L21" s="6">
        <v>807.98775000000001</v>
      </c>
      <c r="M21" s="6">
        <v>385.25236100000001</v>
      </c>
      <c r="N21" s="6">
        <v>18.089017999999999</v>
      </c>
      <c r="P21" s="8">
        <f t="shared" si="1"/>
        <v>0.62722338601765515</v>
      </c>
    </row>
    <row r="22" spans="1:16" x14ac:dyDescent="0.25">
      <c r="A22" s="6">
        <v>15</v>
      </c>
      <c r="B22" s="6" t="s">
        <v>31</v>
      </c>
      <c r="C22" s="6" t="s">
        <v>16</v>
      </c>
      <c r="D22" s="7">
        <v>1930785</v>
      </c>
      <c r="E22" s="7">
        <v>651306.186047</v>
      </c>
      <c r="F22" s="6">
        <v>412.46899200000001</v>
      </c>
      <c r="G22" s="6" t="s">
        <v>17</v>
      </c>
      <c r="H22" s="6" t="s">
        <v>17</v>
      </c>
      <c r="I22" s="6">
        <v>3102</v>
      </c>
      <c r="J22" s="6">
        <v>292</v>
      </c>
      <c r="K22" s="7">
        <v>1219</v>
      </c>
      <c r="L22" s="6">
        <v>622.43230200000005</v>
      </c>
      <c r="M22" s="6">
        <v>222.993686</v>
      </c>
      <c r="N22" s="6">
        <v>18.089017999999999</v>
      </c>
      <c r="P22" s="8">
        <f t="shared" si="1"/>
        <v>0.38306918116491079</v>
      </c>
    </row>
    <row r="23" spans="1:16" x14ac:dyDescent="0.25">
      <c r="A23" s="6">
        <v>16</v>
      </c>
      <c r="B23" s="6" t="s">
        <v>32</v>
      </c>
      <c r="C23" s="6" t="s">
        <v>16</v>
      </c>
      <c r="D23" s="7">
        <v>1543893</v>
      </c>
      <c r="E23" s="7">
        <v>314022.13953500002</v>
      </c>
      <c r="F23" s="6">
        <v>396.476744</v>
      </c>
      <c r="G23" s="6" t="s">
        <v>17</v>
      </c>
      <c r="H23" s="6" t="s">
        <v>17</v>
      </c>
      <c r="I23" s="6">
        <v>3102</v>
      </c>
      <c r="J23" s="6">
        <v>277</v>
      </c>
      <c r="K23" s="6">
        <v>821</v>
      </c>
      <c r="L23" s="6">
        <v>497.70889699999998</v>
      </c>
      <c r="M23" s="6">
        <v>118.83556</v>
      </c>
      <c r="N23" s="6">
        <v>18.089017999999999</v>
      </c>
      <c r="P23" s="8">
        <f t="shared" si="1"/>
        <v>0.18469378371702616</v>
      </c>
    </row>
    <row r="24" spans="1:16" x14ac:dyDescent="0.25">
      <c r="A24" s="6">
        <v>17</v>
      </c>
      <c r="B24" s="6" t="s">
        <v>33</v>
      </c>
      <c r="C24" s="6" t="s">
        <v>16</v>
      </c>
      <c r="D24" s="7">
        <v>3912016</v>
      </c>
      <c r="E24" s="7">
        <v>2172407.1860469999</v>
      </c>
      <c r="F24" s="6">
        <v>560.80232599999999</v>
      </c>
      <c r="G24" s="6" t="s">
        <v>17</v>
      </c>
      <c r="H24" s="6" t="s">
        <v>17</v>
      </c>
      <c r="I24" s="6">
        <v>3102</v>
      </c>
      <c r="J24" s="6">
        <v>280</v>
      </c>
      <c r="K24" s="7">
        <v>3468</v>
      </c>
      <c r="L24" s="7">
        <v>1261.127015</v>
      </c>
      <c r="M24" s="6">
        <v>802.67824099999996</v>
      </c>
      <c r="N24" s="6">
        <v>18.089017999999999</v>
      </c>
      <c r="P24">
        <f>E24/2172407.186047</f>
        <v>1</v>
      </c>
    </row>
    <row r="25" spans="1:16" x14ac:dyDescent="0.25">
      <c r="A25" s="6">
        <v>18</v>
      </c>
      <c r="B25" s="6" t="s">
        <v>34</v>
      </c>
      <c r="C25" s="6" t="s">
        <v>16</v>
      </c>
      <c r="D25" s="7">
        <v>3511044</v>
      </c>
      <c r="E25" s="7">
        <v>1897090.2325579999</v>
      </c>
      <c r="F25" s="6">
        <v>520.29457400000001</v>
      </c>
      <c r="G25" s="6" t="s">
        <v>17</v>
      </c>
      <c r="H25" s="6" t="s">
        <v>17</v>
      </c>
      <c r="I25" s="6">
        <v>3102</v>
      </c>
      <c r="J25" s="6">
        <v>279</v>
      </c>
      <c r="K25" s="7">
        <v>2864</v>
      </c>
      <c r="L25" s="7">
        <v>1131.864603</v>
      </c>
      <c r="M25" s="6">
        <v>669.94852900000001</v>
      </c>
      <c r="N25" s="6">
        <v>18.089017999999999</v>
      </c>
      <c r="P25" s="8">
        <f t="shared" ref="P25:P31" si="2">E25/2172407.186047</f>
        <v>0.87326641374724145</v>
      </c>
    </row>
    <row r="26" spans="1:16" x14ac:dyDescent="0.25">
      <c r="A26" s="6">
        <v>19</v>
      </c>
      <c r="B26" s="6" t="s">
        <v>35</v>
      </c>
      <c r="C26" s="6" t="s">
        <v>16</v>
      </c>
      <c r="D26" s="7">
        <v>3603342</v>
      </c>
      <c r="E26" s="7">
        <v>1849786.209302</v>
      </c>
      <c r="F26" s="6">
        <v>565.29845</v>
      </c>
      <c r="G26" s="6" t="s">
        <v>17</v>
      </c>
      <c r="H26" s="6" t="s">
        <v>17</v>
      </c>
      <c r="I26" s="6">
        <v>3102</v>
      </c>
      <c r="J26" s="6">
        <v>271</v>
      </c>
      <c r="K26" s="7">
        <v>2795</v>
      </c>
      <c r="L26" s="7">
        <v>1161.618956</v>
      </c>
      <c r="M26" s="6">
        <v>658.13348800000006</v>
      </c>
      <c r="N26" s="6">
        <v>18.089017999999999</v>
      </c>
      <c r="P26" s="8">
        <f t="shared" si="2"/>
        <v>0.85149147967418848</v>
      </c>
    </row>
    <row r="27" spans="1:16" x14ac:dyDescent="0.25">
      <c r="A27" s="6">
        <v>20</v>
      </c>
      <c r="B27" s="6" t="s">
        <v>36</v>
      </c>
      <c r="C27" s="6" t="s">
        <v>16</v>
      </c>
      <c r="D27" s="7">
        <v>3555436</v>
      </c>
      <c r="E27" s="7">
        <v>1911832.883721</v>
      </c>
      <c r="F27" s="6">
        <v>529.85271299999999</v>
      </c>
      <c r="G27" s="6" t="s">
        <v>17</v>
      </c>
      <c r="H27" s="6" t="s">
        <v>17</v>
      </c>
      <c r="I27" s="6">
        <v>3102</v>
      </c>
      <c r="J27" s="6">
        <v>283</v>
      </c>
      <c r="K27" s="7">
        <v>2778</v>
      </c>
      <c r="L27" s="7">
        <v>1146.175371</v>
      </c>
      <c r="M27" s="6">
        <v>660.61581999999999</v>
      </c>
      <c r="N27" s="6">
        <v>18.089017999999999</v>
      </c>
      <c r="P27" s="8">
        <f t="shared" si="2"/>
        <v>0.88005273412847096</v>
      </c>
    </row>
    <row r="28" spans="1:16" x14ac:dyDescent="0.25">
      <c r="A28" s="6">
        <v>21</v>
      </c>
      <c r="B28" s="6" t="s">
        <v>37</v>
      </c>
      <c r="C28" s="6" t="s">
        <v>16</v>
      </c>
      <c r="D28" s="7">
        <v>3215586</v>
      </c>
      <c r="E28" s="7">
        <v>1574591.9302330001</v>
      </c>
      <c r="F28" s="6">
        <v>529.01162799999997</v>
      </c>
      <c r="G28" s="6" t="s">
        <v>17</v>
      </c>
      <c r="H28" s="6" t="s">
        <v>17</v>
      </c>
      <c r="I28" s="6">
        <v>3102</v>
      </c>
      <c r="J28" s="6">
        <v>269</v>
      </c>
      <c r="K28" s="7">
        <v>2638</v>
      </c>
      <c r="L28" s="7">
        <v>1036.617021</v>
      </c>
      <c r="M28" s="6">
        <v>637.61818300000004</v>
      </c>
      <c r="N28" s="6">
        <v>18.089017999999999</v>
      </c>
      <c r="P28" s="8">
        <f t="shared" si="2"/>
        <v>0.72481436277063294</v>
      </c>
    </row>
    <row r="29" spans="1:16" x14ac:dyDescent="0.25">
      <c r="A29" s="6">
        <v>22</v>
      </c>
      <c r="B29" s="6" t="s">
        <v>38</v>
      </c>
      <c r="C29" s="6" t="s">
        <v>16</v>
      </c>
      <c r="D29" s="7">
        <v>2345174</v>
      </c>
      <c r="E29" s="7">
        <v>918807.06976700004</v>
      </c>
      <c r="F29" s="6">
        <v>459.82170500000001</v>
      </c>
      <c r="G29" s="6" t="s">
        <v>17</v>
      </c>
      <c r="H29" s="6" t="s">
        <v>17</v>
      </c>
      <c r="I29" s="6">
        <v>3102</v>
      </c>
      <c r="J29" s="6">
        <v>267</v>
      </c>
      <c r="K29" s="7">
        <v>1653</v>
      </c>
      <c r="L29" s="6">
        <v>756.01998700000001</v>
      </c>
      <c r="M29" s="6">
        <v>367.18756300000001</v>
      </c>
      <c r="N29" s="6">
        <v>18.089017999999999</v>
      </c>
      <c r="P29" s="8">
        <f t="shared" si="2"/>
        <v>0.42294422319551361</v>
      </c>
    </row>
    <row r="30" spans="1:16" x14ac:dyDescent="0.25">
      <c r="A30" s="6">
        <v>23</v>
      </c>
      <c r="B30" s="6" t="s">
        <v>39</v>
      </c>
      <c r="C30" s="6" t="s">
        <v>16</v>
      </c>
      <c r="D30" s="7">
        <v>1691511</v>
      </c>
      <c r="E30" s="7">
        <v>490399.76744199998</v>
      </c>
      <c r="F30" s="6">
        <v>387.20542599999999</v>
      </c>
      <c r="G30" s="6" t="s">
        <v>17</v>
      </c>
      <c r="H30" s="6" t="s">
        <v>17</v>
      </c>
      <c r="I30" s="6">
        <v>3102</v>
      </c>
      <c r="J30" s="6">
        <v>263</v>
      </c>
      <c r="K30" s="7">
        <v>1086</v>
      </c>
      <c r="L30" s="6">
        <v>545.29690500000004</v>
      </c>
      <c r="M30" s="6">
        <v>161.536878</v>
      </c>
      <c r="N30" s="6">
        <v>18.089017999999999</v>
      </c>
      <c r="P30" s="8">
        <f t="shared" si="2"/>
        <v>0.22574026204284073</v>
      </c>
    </row>
    <row r="31" spans="1:16" x14ac:dyDescent="0.25">
      <c r="A31" s="6">
        <v>24</v>
      </c>
      <c r="B31" s="6" t="s">
        <v>40</v>
      </c>
      <c r="C31" s="6" t="s">
        <v>16</v>
      </c>
      <c r="D31" s="7">
        <v>1347075</v>
      </c>
      <c r="E31" s="7">
        <v>210769.11627900001</v>
      </c>
      <c r="F31" s="6">
        <v>366.31395300000003</v>
      </c>
      <c r="G31" s="6" t="s">
        <v>17</v>
      </c>
      <c r="H31" s="6" t="s">
        <v>17</v>
      </c>
      <c r="I31" s="6">
        <v>3102</v>
      </c>
      <c r="J31" s="6">
        <v>276</v>
      </c>
      <c r="K31" s="6">
        <v>626</v>
      </c>
      <c r="L31" s="6">
        <v>434.260155</v>
      </c>
      <c r="M31" s="6">
        <v>76.607268000000005</v>
      </c>
      <c r="N31" s="6">
        <v>18.089017999999999</v>
      </c>
      <c r="P31" s="8">
        <f t="shared" si="2"/>
        <v>9.7020999393085255E-2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A4" workbookViewId="0">
      <selection activeCell="P8" sqref="P8:P31"/>
    </sheetView>
  </sheetViews>
  <sheetFormatPr defaultRowHeight="15" x14ac:dyDescent="0.25"/>
  <cols>
    <col min="5" max="5" width="16.140625" customWidth="1"/>
  </cols>
  <sheetData>
    <row r="1" spans="1:16" s="8" customFormat="1" x14ac:dyDescent="0.25">
      <c r="A1" s="2" t="s">
        <v>66</v>
      </c>
    </row>
    <row r="2" spans="1:16" s="8" customFormat="1" x14ac:dyDescent="0.25"/>
    <row r="3" spans="1:16" x14ac:dyDescent="0.25">
      <c r="A3" s="8" t="s">
        <v>41</v>
      </c>
    </row>
    <row r="4" spans="1:16" x14ac:dyDescent="0.25">
      <c r="A4" s="8" t="s">
        <v>42</v>
      </c>
    </row>
    <row r="5" spans="1:16" x14ac:dyDescent="0.25">
      <c r="A5" s="8" t="s">
        <v>43</v>
      </c>
    </row>
    <row r="6" spans="1:16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6" x14ac:dyDescent="0.25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8" t="s">
        <v>11</v>
      </c>
      <c r="L7" s="8" t="s">
        <v>12</v>
      </c>
      <c r="M7" s="8" t="s">
        <v>13</v>
      </c>
      <c r="N7" s="8" t="s">
        <v>14</v>
      </c>
      <c r="P7" s="8" t="s">
        <v>44</v>
      </c>
    </row>
    <row r="8" spans="1:16" x14ac:dyDescent="0.25">
      <c r="A8" s="8">
        <v>1</v>
      </c>
      <c r="B8" s="8" t="s">
        <v>15</v>
      </c>
      <c r="C8" s="8" t="s">
        <v>16</v>
      </c>
      <c r="D8" s="9">
        <v>4490328</v>
      </c>
      <c r="E8" s="9">
        <v>2539496.4482760001</v>
      </c>
      <c r="F8" s="8">
        <v>675.49568999999997</v>
      </c>
      <c r="G8" s="8" t="s">
        <v>17</v>
      </c>
      <c r="H8" s="8" t="s">
        <v>17</v>
      </c>
      <c r="I8" s="8">
        <v>2888</v>
      </c>
      <c r="J8" s="8">
        <v>419</v>
      </c>
      <c r="K8" s="9">
        <v>5612</v>
      </c>
      <c r="L8" s="9">
        <v>1554.822715</v>
      </c>
      <c r="M8" s="9">
        <v>1153.562506</v>
      </c>
      <c r="N8" s="8">
        <v>16.841097999999999</v>
      </c>
      <c r="P8">
        <f>E8/2539496.448276</f>
        <v>1</v>
      </c>
    </row>
    <row r="9" spans="1:16" x14ac:dyDescent="0.25">
      <c r="A9" s="8">
        <v>2</v>
      </c>
      <c r="B9" s="8" t="s">
        <v>18</v>
      </c>
      <c r="C9" s="8" t="s">
        <v>16</v>
      </c>
      <c r="D9" s="9">
        <v>3353403</v>
      </c>
      <c r="E9" s="9">
        <v>1614279.275862</v>
      </c>
      <c r="F9" s="8">
        <v>602.18965500000002</v>
      </c>
      <c r="G9" s="8" t="s">
        <v>17</v>
      </c>
      <c r="H9" s="8" t="s">
        <v>17</v>
      </c>
      <c r="I9" s="8">
        <v>2888</v>
      </c>
      <c r="J9" s="8">
        <v>364</v>
      </c>
      <c r="K9" s="9">
        <v>3864</v>
      </c>
      <c r="L9" s="9">
        <v>1161.150623</v>
      </c>
      <c r="M9" s="8">
        <v>767.80257200000005</v>
      </c>
      <c r="N9" s="8">
        <v>16.841097999999999</v>
      </c>
      <c r="P9" s="8">
        <f t="shared" ref="P9:P15" si="0">E9/2539496.448276</f>
        <v>0.63566904256073808</v>
      </c>
    </row>
    <row r="10" spans="1:16" x14ac:dyDescent="0.25">
      <c r="A10" s="8">
        <v>3</v>
      </c>
      <c r="B10" s="8" t="s">
        <v>19</v>
      </c>
      <c r="C10" s="8" t="s">
        <v>16</v>
      </c>
      <c r="D10" s="9">
        <v>2546548</v>
      </c>
      <c r="E10" s="9">
        <v>887404.44827599998</v>
      </c>
      <c r="F10" s="8">
        <v>574.49568999999997</v>
      </c>
      <c r="G10" s="8" t="s">
        <v>17</v>
      </c>
      <c r="H10" s="8" t="s">
        <v>17</v>
      </c>
      <c r="I10" s="8">
        <v>2888</v>
      </c>
      <c r="J10" s="8">
        <v>386</v>
      </c>
      <c r="K10" s="9">
        <v>2142</v>
      </c>
      <c r="L10" s="8">
        <v>881.76869799999997</v>
      </c>
      <c r="M10" s="8">
        <v>378.91449699999998</v>
      </c>
      <c r="N10" s="8">
        <v>16.841097999999999</v>
      </c>
      <c r="P10" s="8">
        <f t="shared" si="0"/>
        <v>0.34944110627854447</v>
      </c>
    </row>
    <row r="11" spans="1:16" x14ac:dyDescent="0.25">
      <c r="A11" s="8">
        <v>4</v>
      </c>
      <c r="B11" s="8" t="s">
        <v>20</v>
      </c>
      <c r="C11" s="8" t="s">
        <v>16</v>
      </c>
      <c r="D11" s="9">
        <v>2201238</v>
      </c>
      <c r="E11" s="9">
        <v>607896.03448300005</v>
      </c>
      <c r="F11" s="8">
        <v>551.71120699999994</v>
      </c>
      <c r="G11" s="8" t="s">
        <v>17</v>
      </c>
      <c r="H11" s="8" t="s">
        <v>17</v>
      </c>
      <c r="I11" s="8">
        <v>2888</v>
      </c>
      <c r="J11" s="8">
        <v>351</v>
      </c>
      <c r="K11" s="9">
        <v>1930</v>
      </c>
      <c r="L11" s="8">
        <v>762.20152399999995</v>
      </c>
      <c r="M11" s="8">
        <v>368.20022399999999</v>
      </c>
      <c r="N11" s="8">
        <v>16.841097999999999</v>
      </c>
      <c r="P11" s="8">
        <f t="shared" si="0"/>
        <v>0.23937660353716395</v>
      </c>
    </row>
    <row r="12" spans="1:16" x14ac:dyDescent="0.25">
      <c r="A12" s="8">
        <v>5</v>
      </c>
      <c r="B12" s="8" t="s">
        <v>21</v>
      </c>
      <c r="C12" s="8" t="s">
        <v>16</v>
      </c>
      <c r="D12" s="9">
        <v>1898369</v>
      </c>
      <c r="E12" s="9">
        <v>319093.58620700001</v>
      </c>
      <c r="F12" s="8">
        <v>546.84051699999998</v>
      </c>
      <c r="G12" s="8" t="s">
        <v>17</v>
      </c>
      <c r="H12" s="8" t="s">
        <v>17</v>
      </c>
      <c r="I12" s="8">
        <v>2888</v>
      </c>
      <c r="J12" s="8">
        <v>354</v>
      </c>
      <c r="K12" s="9">
        <v>1213</v>
      </c>
      <c r="L12" s="8">
        <v>657.32998599999996</v>
      </c>
      <c r="M12" s="8">
        <v>199.708519</v>
      </c>
      <c r="N12" s="8">
        <v>16.841097999999999</v>
      </c>
      <c r="P12" s="8">
        <f t="shared" si="0"/>
        <v>0.12565230655220036</v>
      </c>
    </row>
    <row r="13" spans="1:16" x14ac:dyDescent="0.25">
      <c r="A13" s="8">
        <v>6</v>
      </c>
      <c r="B13" s="8" t="s">
        <v>22</v>
      </c>
      <c r="C13" s="8" t="s">
        <v>16</v>
      </c>
      <c r="D13" s="9">
        <v>1765185</v>
      </c>
      <c r="E13" s="9">
        <v>217901.655172</v>
      </c>
      <c r="F13" s="8">
        <v>535.76293099999998</v>
      </c>
      <c r="G13" s="8" t="s">
        <v>17</v>
      </c>
      <c r="H13" s="8" t="s">
        <v>17</v>
      </c>
      <c r="I13" s="8">
        <v>2888</v>
      </c>
      <c r="J13" s="8">
        <v>376</v>
      </c>
      <c r="K13" s="9">
        <v>7467</v>
      </c>
      <c r="L13" s="8">
        <v>611.21364300000005</v>
      </c>
      <c r="M13" s="8">
        <v>253.810306</v>
      </c>
      <c r="N13" s="8">
        <v>16.841097999999999</v>
      </c>
      <c r="P13" s="8">
        <f t="shared" si="0"/>
        <v>8.5805063960584751E-2</v>
      </c>
    </row>
    <row r="14" spans="1:16" x14ac:dyDescent="0.25">
      <c r="A14" s="8">
        <v>7</v>
      </c>
      <c r="B14" s="8" t="s">
        <v>23</v>
      </c>
      <c r="C14" s="8" t="s">
        <v>16</v>
      </c>
      <c r="D14" s="9">
        <v>1613064</v>
      </c>
      <c r="E14" s="9">
        <v>169014.206897</v>
      </c>
      <c r="F14" s="8">
        <v>500.01724100000001</v>
      </c>
      <c r="G14" s="8" t="s">
        <v>17</v>
      </c>
      <c r="H14" s="8" t="s">
        <v>17</v>
      </c>
      <c r="I14" s="8">
        <v>2888</v>
      </c>
      <c r="J14" s="8">
        <v>357</v>
      </c>
      <c r="K14" s="8">
        <v>862</v>
      </c>
      <c r="L14" s="8">
        <v>558.540166</v>
      </c>
      <c r="M14" s="8">
        <v>112.707677</v>
      </c>
      <c r="N14" s="8">
        <v>16.841097999999999</v>
      </c>
      <c r="P14" s="8">
        <f t="shared" si="0"/>
        <v>6.6554220625801408E-2</v>
      </c>
    </row>
    <row r="15" spans="1:16" x14ac:dyDescent="0.25">
      <c r="A15" s="8">
        <v>8</v>
      </c>
      <c r="B15" s="8" t="s">
        <v>24</v>
      </c>
      <c r="C15" s="8" t="s">
        <v>16</v>
      </c>
      <c r="D15" s="9">
        <v>1477406</v>
      </c>
      <c r="E15" s="9">
        <v>116037.655172</v>
      </c>
      <c r="F15" s="8">
        <v>471.38793099999998</v>
      </c>
      <c r="G15" s="8" t="s">
        <v>17</v>
      </c>
      <c r="H15" s="8" t="s">
        <v>17</v>
      </c>
      <c r="I15" s="8">
        <v>2888</v>
      </c>
      <c r="J15" s="8">
        <v>344</v>
      </c>
      <c r="K15" s="9">
        <v>1476</v>
      </c>
      <c r="L15" s="8">
        <v>511.56717500000002</v>
      </c>
      <c r="M15" s="8">
        <v>90.554878000000002</v>
      </c>
      <c r="N15" s="8">
        <v>16.841097999999999</v>
      </c>
      <c r="P15" s="8">
        <f t="shared" si="0"/>
        <v>4.5693174822423958E-2</v>
      </c>
    </row>
    <row r="16" spans="1:16" x14ac:dyDescent="0.25">
      <c r="A16" s="8">
        <v>9</v>
      </c>
      <c r="B16" s="8" t="s">
        <v>25</v>
      </c>
      <c r="C16" s="8" t="s">
        <v>16</v>
      </c>
      <c r="D16" s="9">
        <v>4793899</v>
      </c>
      <c r="E16" s="9">
        <v>2864304.2068969999</v>
      </c>
      <c r="F16" s="8">
        <v>668.14224100000001</v>
      </c>
      <c r="G16" s="8" t="s">
        <v>17</v>
      </c>
      <c r="H16" s="8" t="s">
        <v>17</v>
      </c>
      <c r="I16" s="8">
        <v>2888</v>
      </c>
      <c r="J16" s="8">
        <v>347</v>
      </c>
      <c r="K16" s="9">
        <v>14199</v>
      </c>
      <c r="L16" s="9">
        <v>1659.9373270000001</v>
      </c>
      <c r="M16" s="9">
        <v>1180.126219</v>
      </c>
      <c r="N16" s="8">
        <v>16.841097999999999</v>
      </c>
      <c r="P16">
        <f>E16/2864304.206897</f>
        <v>1</v>
      </c>
    </row>
    <row r="17" spans="1:16" x14ac:dyDescent="0.25">
      <c r="A17" s="8">
        <v>10</v>
      </c>
      <c r="B17" s="8" t="s">
        <v>26</v>
      </c>
      <c r="C17" s="8" t="s">
        <v>16</v>
      </c>
      <c r="D17" s="9">
        <v>3691651</v>
      </c>
      <c r="E17" s="9">
        <v>2075653.1724139999</v>
      </c>
      <c r="F17" s="8">
        <v>559.55603399999995</v>
      </c>
      <c r="G17" s="8" t="s">
        <v>17</v>
      </c>
      <c r="H17" s="8" t="s">
        <v>17</v>
      </c>
      <c r="I17" s="8">
        <v>2888</v>
      </c>
      <c r="J17" s="8">
        <v>351</v>
      </c>
      <c r="K17" s="9">
        <v>4030</v>
      </c>
      <c r="L17" s="9">
        <v>1278.2725069999999</v>
      </c>
      <c r="M17" s="8">
        <v>824.676695</v>
      </c>
      <c r="N17" s="8">
        <v>16.841097999999999</v>
      </c>
      <c r="P17" s="8">
        <f t="shared" ref="P17:P23" si="1">E17/2864304.206897</f>
        <v>0.7246622643698265</v>
      </c>
    </row>
    <row r="18" spans="1:16" x14ac:dyDescent="0.25">
      <c r="A18" s="8">
        <v>11</v>
      </c>
      <c r="B18" s="8" t="s">
        <v>27</v>
      </c>
      <c r="C18" s="8" t="s">
        <v>16</v>
      </c>
      <c r="D18" s="9">
        <v>2604241</v>
      </c>
      <c r="E18" s="9">
        <v>1193540.137931</v>
      </c>
      <c r="F18" s="8">
        <v>488.46982800000001</v>
      </c>
      <c r="G18" s="8" t="s">
        <v>17</v>
      </c>
      <c r="H18" s="8" t="s">
        <v>17</v>
      </c>
      <c r="I18" s="8">
        <v>2888</v>
      </c>
      <c r="J18" s="8">
        <v>296</v>
      </c>
      <c r="K18" s="9">
        <v>2427</v>
      </c>
      <c r="L18" s="8">
        <v>901.745499</v>
      </c>
      <c r="M18" s="8">
        <v>489.823714</v>
      </c>
      <c r="N18" s="8">
        <v>16.841097999999999</v>
      </c>
      <c r="P18" s="8">
        <f t="shared" si="1"/>
        <v>0.41669461471901525</v>
      </c>
    </row>
    <row r="19" spans="1:16" x14ac:dyDescent="0.25">
      <c r="A19" s="8">
        <v>12</v>
      </c>
      <c r="B19" s="8" t="s">
        <v>28</v>
      </c>
      <c r="C19" s="8" t="s">
        <v>16</v>
      </c>
      <c r="D19" s="9">
        <v>2123054</v>
      </c>
      <c r="E19" s="9">
        <v>795258.65517200006</v>
      </c>
      <c r="F19" s="8">
        <v>459.76293099999998</v>
      </c>
      <c r="G19" s="8" t="s">
        <v>17</v>
      </c>
      <c r="H19" s="8" t="s">
        <v>17</v>
      </c>
      <c r="I19" s="8">
        <v>2888</v>
      </c>
      <c r="J19" s="8">
        <v>319</v>
      </c>
      <c r="K19" s="9">
        <v>1810</v>
      </c>
      <c r="L19" s="8">
        <v>735.129501</v>
      </c>
      <c r="M19" s="8">
        <v>345.43739499999998</v>
      </c>
      <c r="N19" s="8">
        <v>16.841097999999999</v>
      </c>
      <c r="P19" s="8">
        <f t="shared" si="1"/>
        <v>0.27764462072746504</v>
      </c>
    </row>
    <row r="20" spans="1:16" x14ac:dyDescent="0.25">
      <c r="A20" s="8">
        <v>13</v>
      </c>
      <c r="B20" s="8" t="s">
        <v>29</v>
      </c>
      <c r="C20" s="8" t="s">
        <v>16</v>
      </c>
      <c r="D20" s="9">
        <v>1640908</v>
      </c>
      <c r="E20" s="9">
        <v>295983.82758600003</v>
      </c>
      <c r="F20" s="8">
        <v>465.69396599999999</v>
      </c>
      <c r="G20" s="8" t="s">
        <v>17</v>
      </c>
      <c r="H20" s="8" t="s">
        <v>17</v>
      </c>
      <c r="I20" s="8">
        <v>2888</v>
      </c>
      <c r="J20" s="8">
        <v>296</v>
      </c>
      <c r="K20" s="9">
        <v>1142</v>
      </c>
      <c r="L20" s="8">
        <v>568.18143999999995</v>
      </c>
      <c r="M20" s="8">
        <v>187.475257</v>
      </c>
      <c r="N20" s="8">
        <v>16.841097999999999</v>
      </c>
      <c r="P20" s="8">
        <f t="shared" si="1"/>
        <v>0.10333533249481541</v>
      </c>
    </row>
    <row r="21" spans="1:16" x14ac:dyDescent="0.25">
      <c r="A21" s="8">
        <v>14</v>
      </c>
      <c r="B21" s="8" t="s">
        <v>30</v>
      </c>
      <c r="C21" s="8" t="s">
        <v>16</v>
      </c>
      <c r="D21" s="9">
        <v>1362635</v>
      </c>
      <c r="E21" s="9">
        <v>85230.275861999995</v>
      </c>
      <c r="F21" s="8">
        <v>442.31465500000002</v>
      </c>
      <c r="G21" s="8" t="s">
        <v>17</v>
      </c>
      <c r="H21" s="8" t="s">
        <v>17</v>
      </c>
      <c r="I21" s="8">
        <v>2888</v>
      </c>
      <c r="J21" s="8">
        <v>300</v>
      </c>
      <c r="K21" s="8">
        <v>751</v>
      </c>
      <c r="L21" s="8">
        <v>471.82652400000001</v>
      </c>
      <c r="M21" s="8">
        <v>93.723044000000002</v>
      </c>
      <c r="N21" s="8">
        <v>16.841097999999999</v>
      </c>
      <c r="P21" s="8">
        <f t="shared" si="1"/>
        <v>2.9756013923651257E-2</v>
      </c>
    </row>
    <row r="22" spans="1:16" x14ac:dyDescent="0.25">
      <c r="A22" s="8">
        <v>15</v>
      </c>
      <c r="B22" s="8" t="s">
        <v>31</v>
      </c>
      <c r="C22" s="8" t="s">
        <v>16</v>
      </c>
      <c r="D22" s="9">
        <v>1348498</v>
      </c>
      <c r="E22" s="9">
        <v>67296.551724000004</v>
      </c>
      <c r="F22" s="8">
        <v>443.62930999999998</v>
      </c>
      <c r="G22" s="8" t="s">
        <v>17</v>
      </c>
      <c r="H22" s="8" t="s">
        <v>17</v>
      </c>
      <c r="I22" s="8">
        <v>2888</v>
      </c>
      <c r="J22" s="8">
        <v>306</v>
      </c>
      <c r="K22" s="8">
        <v>685</v>
      </c>
      <c r="L22" s="8">
        <v>466.93144000000001</v>
      </c>
      <c r="M22" s="8">
        <v>79.756906999999998</v>
      </c>
      <c r="N22" s="8">
        <v>16.841097999999999</v>
      </c>
      <c r="P22" s="8">
        <f t="shared" si="1"/>
        <v>2.3494903775219008E-2</v>
      </c>
    </row>
    <row r="23" spans="1:16" x14ac:dyDescent="0.25">
      <c r="A23" s="8">
        <v>16</v>
      </c>
      <c r="B23" s="8" t="s">
        <v>32</v>
      </c>
      <c r="C23" s="8" t="s">
        <v>16</v>
      </c>
      <c r="D23" s="9">
        <v>1198724</v>
      </c>
      <c r="E23" s="9">
        <v>35469.965516999997</v>
      </c>
      <c r="F23" s="8">
        <v>402.788793</v>
      </c>
      <c r="G23" s="8" t="s">
        <v>17</v>
      </c>
      <c r="H23" s="8" t="s">
        <v>17</v>
      </c>
      <c r="I23" s="8">
        <v>2888</v>
      </c>
      <c r="J23" s="8">
        <v>290</v>
      </c>
      <c r="K23" s="8">
        <v>638</v>
      </c>
      <c r="L23" s="8">
        <v>415.07063699999998</v>
      </c>
      <c r="M23" s="8">
        <v>62.960743999999998</v>
      </c>
      <c r="N23" s="8">
        <v>16.841097999999999</v>
      </c>
      <c r="P23" s="8">
        <f t="shared" si="1"/>
        <v>1.2383449157247806E-2</v>
      </c>
    </row>
    <row r="24" spans="1:16" x14ac:dyDescent="0.25">
      <c r="A24" s="8">
        <v>17</v>
      </c>
      <c r="B24" s="8" t="s">
        <v>33</v>
      </c>
      <c r="C24" s="8" t="s">
        <v>16</v>
      </c>
      <c r="D24" s="9">
        <v>5239142</v>
      </c>
      <c r="E24" s="9">
        <v>3558487.8275859999</v>
      </c>
      <c r="F24" s="8">
        <v>581.94396600000005</v>
      </c>
      <c r="G24" s="8" t="s">
        <v>17</v>
      </c>
      <c r="H24" s="8" t="s">
        <v>17</v>
      </c>
      <c r="I24" s="8">
        <v>2888</v>
      </c>
      <c r="J24" s="8">
        <v>327</v>
      </c>
      <c r="K24" s="9">
        <v>7462</v>
      </c>
      <c r="L24" s="9">
        <v>1814.1073409999999</v>
      </c>
      <c r="M24" s="9">
        <v>1630.063856</v>
      </c>
      <c r="N24" s="8">
        <v>16.841097999999999</v>
      </c>
      <c r="P24">
        <f>E24/3558487.827586</f>
        <v>1</v>
      </c>
    </row>
    <row r="25" spans="1:16" x14ac:dyDescent="0.25">
      <c r="A25" s="8">
        <v>18</v>
      </c>
      <c r="B25" s="8" t="s">
        <v>34</v>
      </c>
      <c r="C25" s="8" t="s">
        <v>16</v>
      </c>
      <c r="D25" s="9">
        <v>4627626</v>
      </c>
      <c r="E25" s="9">
        <v>3042126.4482760001</v>
      </c>
      <c r="F25" s="8">
        <v>548.99568999999997</v>
      </c>
      <c r="G25" s="8" t="s">
        <v>17</v>
      </c>
      <c r="H25" s="8" t="s">
        <v>17</v>
      </c>
      <c r="I25" s="8">
        <v>2888</v>
      </c>
      <c r="J25" s="8">
        <v>316</v>
      </c>
      <c r="K25" s="9">
        <v>6072</v>
      </c>
      <c r="L25" s="9">
        <v>1602.3635730000001</v>
      </c>
      <c r="M25" s="9">
        <v>1357.172734</v>
      </c>
      <c r="N25" s="8">
        <v>16.841097999999999</v>
      </c>
      <c r="P25" s="8">
        <f t="shared" ref="P25:P31" si="2">E25/3558487.827586</f>
        <v>0.85489303200447142</v>
      </c>
    </row>
    <row r="26" spans="1:16" x14ac:dyDescent="0.25">
      <c r="A26" s="8">
        <v>19</v>
      </c>
      <c r="B26" s="8" t="s">
        <v>35</v>
      </c>
      <c r="C26" s="8" t="s">
        <v>16</v>
      </c>
      <c r="D26" s="9">
        <v>3687771</v>
      </c>
      <c r="E26" s="9">
        <v>2228360.0344830002</v>
      </c>
      <c r="F26" s="8">
        <v>505.336207</v>
      </c>
      <c r="G26" s="8" t="s">
        <v>17</v>
      </c>
      <c r="H26" s="8" t="s">
        <v>17</v>
      </c>
      <c r="I26" s="8">
        <v>2888</v>
      </c>
      <c r="J26" s="8">
        <v>316</v>
      </c>
      <c r="K26" s="9">
        <v>4493</v>
      </c>
      <c r="L26" s="9">
        <v>1276.9290169999999</v>
      </c>
      <c r="M26" s="8">
        <v>956.95183599999996</v>
      </c>
      <c r="N26" s="8">
        <v>16.841097999999999</v>
      </c>
      <c r="P26" s="8">
        <f t="shared" si="2"/>
        <v>0.62620982351221666</v>
      </c>
    </row>
    <row r="27" spans="1:16" x14ac:dyDescent="0.25">
      <c r="A27" s="8">
        <v>20</v>
      </c>
      <c r="B27" s="8" t="s">
        <v>36</v>
      </c>
      <c r="C27" s="8" t="s">
        <v>16</v>
      </c>
      <c r="D27" s="9">
        <v>3127277</v>
      </c>
      <c r="E27" s="9">
        <v>1756796.517241</v>
      </c>
      <c r="F27" s="8">
        <v>474.54310299999997</v>
      </c>
      <c r="G27" s="8" t="s">
        <v>17</v>
      </c>
      <c r="H27" s="8" t="s">
        <v>17</v>
      </c>
      <c r="I27" s="8">
        <v>2888</v>
      </c>
      <c r="J27" s="8">
        <v>320</v>
      </c>
      <c r="K27" s="9">
        <v>3814</v>
      </c>
      <c r="L27" s="9">
        <v>1082.8521470000001</v>
      </c>
      <c r="M27" s="8">
        <v>797.01906699999995</v>
      </c>
      <c r="N27" s="8">
        <v>16.841097999999999</v>
      </c>
      <c r="P27" s="8">
        <f t="shared" si="2"/>
        <v>0.49369187204239284</v>
      </c>
    </row>
    <row r="28" spans="1:16" x14ac:dyDescent="0.25">
      <c r="A28" s="8">
        <v>21</v>
      </c>
      <c r="B28" s="8" t="s">
        <v>37</v>
      </c>
      <c r="C28" s="8" t="s">
        <v>16</v>
      </c>
      <c r="D28" s="9">
        <v>2547407</v>
      </c>
      <c r="E28" s="9">
        <v>1260491.7931029999</v>
      </c>
      <c r="F28" s="8">
        <v>445.60775899999999</v>
      </c>
      <c r="G28" s="8" t="s">
        <v>17</v>
      </c>
      <c r="H28" s="8" t="s">
        <v>17</v>
      </c>
      <c r="I28" s="8">
        <v>2888</v>
      </c>
      <c r="J28" s="8">
        <v>318</v>
      </c>
      <c r="K28" s="9">
        <v>2562</v>
      </c>
      <c r="L28" s="8">
        <v>882.06613600000003</v>
      </c>
      <c r="M28" s="8">
        <v>533.53397700000005</v>
      </c>
      <c r="N28" s="8">
        <v>16.841097999999999</v>
      </c>
      <c r="P28" s="8">
        <f t="shared" si="2"/>
        <v>0.35422119006041114</v>
      </c>
    </row>
    <row r="29" spans="1:16" x14ac:dyDescent="0.25">
      <c r="A29" s="8">
        <v>22</v>
      </c>
      <c r="B29" s="8" t="s">
        <v>38</v>
      </c>
      <c r="C29" s="8" t="s">
        <v>16</v>
      </c>
      <c r="D29" s="9">
        <v>1728998</v>
      </c>
      <c r="E29" s="9">
        <v>515291.10344799998</v>
      </c>
      <c r="F29" s="8">
        <v>420.25862100000001</v>
      </c>
      <c r="G29" s="8" t="s">
        <v>17</v>
      </c>
      <c r="H29" s="8" t="s">
        <v>17</v>
      </c>
      <c r="I29" s="8">
        <v>2888</v>
      </c>
      <c r="J29" s="8">
        <v>328</v>
      </c>
      <c r="K29" s="9">
        <v>1323</v>
      </c>
      <c r="L29" s="8">
        <v>598.68351800000005</v>
      </c>
      <c r="M29" s="8">
        <v>220.215698</v>
      </c>
      <c r="N29" s="8">
        <v>16.841097999999999</v>
      </c>
      <c r="P29" s="8">
        <f t="shared" si="2"/>
        <v>0.14480620095237537</v>
      </c>
    </row>
    <row r="30" spans="1:16" x14ac:dyDescent="0.25">
      <c r="A30" s="8">
        <v>23</v>
      </c>
      <c r="B30" s="8" t="s">
        <v>39</v>
      </c>
      <c r="C30" s="8" t="s">
        <v>16</v>
      </c>
      <c r="D30" s="9">
        <v>1530837</v>
      </c>
      <c r="E30" s="9">
        <v>355943.82758600003</v>
      </c>
      <c r="F30" s="8">
        <v>406.81896599999999</v>
      </c>
      <c r="G30" s="8" t="s">
        <v>17</v>
      </c>
      <c r="H30" s="8" t="s">
        <v>17</v>
      </c>
      <c r="I30" s="8">
        <v>2888</v>
      </c>
      <c r="J30" s="8">
        <v>310</v>
      </c>
      <c r="K30" s="9">
        <v>1719</v>
      </c>
      <c r="L30" s="8">
        <v>530.06821300000001</v>
      </c>
      <c r="M30" s="8">
        <v>143.84645699999999</v>
      </c>
      <c r="N30" s="8">
        <v>16.841097999999999</v>
      </c>
      <c r="P30" s="8">
        <f t="shared" si="2"/>
        <v>0.10002670933048112</v>
      </c>
    </row>
    <row r="31" spans="1:16" x14ac:dyDescent="0.25">
      <c r="A31" s="8">
        <v>24</v>
      </c>
      <c r="B31" s="8" t="s">
        <v>40</v>
      </c>
      <c r="C31" s="8" t="s">
        <v>16</v>
      </c>
      <c r="D31" s="9">
        <v>1418315</v>
      </c>
      <c r="E31" s="9">
        <v>272961.58620700001</v>
      </c>
      <c r="F31" s="8">
        <v>396.59051699999998</v>
      </c>
      <c r="G31" s="8" t="s">
        <v>17</v>
      </c>
      <c r="H31" s="8" t="s">
        <v>17</v>
      </c>
      <c r="I31" s="8">
        <v>2888</v>
      </c>
      <c r="J31" s="8">
        <v>291</v>
      </c>
      <c r="K31" s="8">
        <v>845</v>
      </c>
      <c r="L31" s="8">
        <v>491.10630200000003</v>
      </c>
      <c r="M31" s="8">
        <v>111.50231700000001</v>
      </c>
      <c r="N31" s="8">
        <v>16.841097999999999</v>
      </c>
      <c r="P31" s="8">
        <f t="shared" si="2"/>
        <v>7.6707185589045893E-2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A7" workbookViewId="0">
      <selection activeCell="P8" sqref="P8:P31"/>
    </sheetView>
  </sheetViews>
  <sheetFormatPr defaultRowHeight="15" x14ac:dyDescent="0.25"/>
  <cols>
    <col min="5" max="5" width="15.85546875" customWidth="1"/>
  </cols>
  <sheetData>
    <row r="1" spans="1:16" x14ac:dyDescent="0.25">
      <c r="A1" s="2" t="s">
        <v>67</v>
      </c>
    </row>
    <row r="3" spans="1:16" x14ac:dyDescent="0.25">
      <c r="A3" s="14" t="s">
        <v>46</v>
      </c>
    </row>
    <row r="4" spans="1:16" x14ac:dyDescent="0.25">
      <c r="A4" s="14" t="s">
        <v>47</v>
      </c>
    </row>
    <row r="5" spans="1:16" x14ac:dyDescent="0.25">
      <c r="A5" s="14" t="s">
        <v>48</v>
      </c>
    </row>
    <row r="6" spans="1:16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6" x14ac:dyDescent="0.25">
      <c r="A7" s="14" t="s">
        <v>1</v>
      </c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4" t="s">
        <v>14</v>
      </c>
      <c r="P7" t="s">
        <v>44</v>
      </c>
    </row>
    <row r="8" spans="1:16" x14ac:dyDescent="0.25">
      <c r="A8" s="14">
        <v>1</v>
      </c>
      <c r="B8" s="14" t="s">
        <v>15</v>
      </c>
      <c r="C8" s="14" t="s">
        <v>16</v>
      </c>
      <c r="D8" s="15">
        <v>2758085</v>
      </c>
      <c r="E8" s="15">
        <v>1408525.4193549999</v>
      </c>
      <c r="F8" s="14">
        <v>422.794355</v>
      </c>
      <c r="G8" s="14" t="s">
        <v>17</v>
      </c>
      <c r="H8" s="14" t="s">
        <v>17</v>
      </c>
      <c r="I8" s="14">
        <v>3192</v>
      </c>
      <c r="J8" s="14">
        <v>294</v>
      </c>
      <c r="K8" s="15">
        <v>2606</v>
      </c>
      <c r="L8" s="14">
        <v>864.06171700000004</v>
      </c>
      <c r="M8" s="14">
        <v>527.49883999999997</v>
      </c>
      <c r="N8" s="14">
        <v>18.613845000000001</v>
      </c>
      <c r="P8">
        <f>E8/1408525.419355</f>
        <v>1</v>
      </c>
    </row>
    <row r="9" spans="1:16" x14ac:dyDescent="0.25">
      <c r="A9" s="14">
        <v>2</v>
      </c>
      <c r="B9" s="14" t="s">
        <v>18</v>
      </c>
      <c r="C9" s="14" t="s">
        <v>16</v>
      </c>
      <c r="D9" s="15">
        <v>2442410</v>
      </c>
      <c r="E9" s="15">
        <v>1159959.6451610001</v>
      </c>
      <c r="F9" s="14">
        <v>401.77016099999997</v>
      </c>
      <c r="G9" s="14" t="s">
        <v>17</v>
      </c>
      <c r="H9" s="14" t="s">
        <v>17</v>
      </c>
      <c r="I9" s="14">
        <v>3192</v>
      </c>
      <c r="J9" s="14">
        <v>297</v>
      </c>
      <c r="K9" s="15">
        <v>2126</v>
      </c>
      <c r="L9" s="14">
        <v>765.16603999999995</v>
      </c>
      <c r="M9" s="14">
        <v>448.26601499999998</v>
      </c>
      <c r="N9" s="14">
        <v>18.613845000000001</v>
      </c>
      <c r="P9" s="14">
        <f t="shared" ref="P9:P15" si="0">E9/1408525.419355</f>
        <v>0.82352766178133685</v>
      </c>
    </row>
    <row r="10" spans="1:16" x14ac:dyDescent="0.25">
      <c r="A10" s="14">
        <v>3</v>
      </c>
      <c r="B10" s="14" t="s">
        <v>19</v>
      </c>
      <c r="C10" s="14" t="s">
        <v>16</v>
      </c>
      <c r="D10" s="15">
        <v>2501622</v>
      </c>
      <c r="E10" s="15">
        <v>1223869.5483870001</v>
      </c>
      <c r="F10" s="14">
        <v>400.29838699999999</v>
      </c>
      <c r="G10" s="14" t="s">
        <v>17</v>
      </c>
      <c r="H10" s="14" t="s">
        <v>17</v>
      </c>
      <c r="I10" s="14">
        <v>3192</v>
      </c>
      <c r="J10" s="14">
        <v>294</v>
      </c>
      <c r="K10" s="15">
        <v>2340</v>
      </c>
      <c r="L10" s="14">
        <v>783.71616500000005</v>
      </c>
      <c r="M10" s="14">
        <v>466.72993200000002</v>
      </c>
      <c r="N10" s="14">
        <v>18.613845000000001</v>
      </c>
      <c r="P10" s="14">
        <f t="shared" si="0"/>
        <v>0.86890128610347805</v>
      </c>
    </row>
    <row r="11" spans="1:16" x14ac:dyDescent="0.25">
      <c r="A11" s="14">
        <v>4</v>
      </c>
      <c r="B11" s="14" t="s">
        <v>20</v>
      </c>
      <c r="C11" s="14" t="s">
        <v>16</v>
      </c>
      <c r="D11" s="15">
        <v>2401286</v>
      </c>
      <c r="E11" s="15">
        <v>1140265.806452</v>
      </c>
      <c r="F11" s="14">
        <v>395.05645199999998</v>
      </c>
      <c r="G11" s="14" t="s">
        <v>17</v>
      </c>
      <c r="H11" s="14" t="s">
        <v>17</v>
      </c>
      <c r="I11" s="14">
        <v>3192</v>
      </c>
      <c r="J11" s="14">
        <v>295</v>
      </c>
      <c r="K11" s="15">
        <v>2078</v>
      </c>
      <c r="L11" s="14">
        <v>752.28258100000005</v>
      </c>
      <c r="M11" s="14">
        <v>428.69300199999998</v>
      </c>
      <c r="N11" s="14">
        <v>18.613845000000001</v>
      </c>
      <c r="P11" s="14">
        <f t="shared" si="0"/>
        <v>0.8095457780053108</v>
      </c>
    </row>
    <row r="12" spans="1:16" x14ac:dyDescent="0.25">
      <c r="A12" s="14">
        <v>5</v>
      </c>
      <c r="B12" s="14" t="s">
        <v>21</v>
      </c>
      <c r="C12" s="14" t="s">
        <v>16</v>
      </c>
      <c r="D12" s="15">
        <v>2121885</v>
      </c>
      <c r="E12" s="15">
        <v>924846.38709700003</v>
      </c>
      <c r="F12" s="14">
        <v>375.01209699999998</v>
      </c>
      <c r="G12" s="14" t="s">
        <v>17</v>
      </c>
      <c r="H12" s="14" t="s">
        <v>17</v>
      </c>
      <c r="I12" s="14">
        <v>3192</v>
      </c>
      <c r="J12" s="14">
        <v>304</v>
      </c>
      <c r="K12" s="15">
        <v>1587</v>
      </c>
      <c r="L12" s="14">
        <v>664.75094000000001</v>
      </c>
      <c r="M12" s="14">
        <v>318.11146200000002</v>
      </c>
      <c r="N12" s="14">
        <v>18.613845000000001</v>
      </c>
      <c r="P12" s="14">
        <f t="shared" si="0"/>
        <v>0.65660610336767011</v>
      </c>
    </row>
    <row r="13" spans="1:16" x14ac:dyDescent="0.25">
      <c r="A13" s="14">
        <v>6</v>
      </c>
      <c r="B13" s="14" t="s">
        <v>22</v>
      </c>
      <c r="C13" s="14" t="s">
        <v>16</v>
      </c>
      <c r="D13" s="15">
        <v>1601339</v>
      </c>
      <c r="E13" s="15">
        <v>458448.54838699999</v>
      </c>
      <c r="F13" s="14">
        <v>358.04838699999999</v>
      </c>
      <c r="G13" s="14" t="s">
        <v>17</v>
      </c>
      <c r="H13" s="14" t="s">
        <v>17</v>
      </c>
      <c r="I13" s="14">
        <v>3192</v>
      </c>
      <c r="J13" s="14">
        <v>289</v>
      </c>
      <c r="K13" s="14">
        <v>992</v>
      </c>
      <c r="L13" s="14">
        <v>501.672619</v>
      </c>
      <c r="M13" s="14">
        <v>158.36388700000001</v>
      </c>
      <c r="N13" s="14">
        <v>18.613845000000001</v>
      </c>
      <c r="P13" s="14">
        <f t="shared" si="0"/>
        <v>0.32548120331185459</v>
      </c>
    </row>
    <row r="14" spans="1:16" x14ac:dyDescent="0.25">
      <c r="A14" s="14">
        <v>7</v>
      </c>
      <c r="B14" s="14" t="s">
        <v>23</v>
      </c>
      <c r="C14" s="14" t="s">
        <v>16</v>
      </c>
      <c r="D14" s="15">
        <v>1299655</v>
      </c>
      <c r="E14" s="15">
        <v>184102.483871</v>
      </c>
      <c r="F14" s="14">
        <v>349.48387100000002</v>
      </c>
      <c r="G14" s="14" t="s">
        <v>17</v>
      </c>
      <c r="H14" s="14" t="s">
        <v>17</v>
      </c>
      <c r="I14" s="14">
        <v>3192</v>
      </c>
      <c r="J14" s="14">
        <v>285</v>
      </c>
      <c r="K14" s="14">
        <v>609</v>
      </c>
      <c r="L14" s="14">
        <v>407.16008799999997</v>
      </c>
      <c r="M14" s="14">
        <v>65.903108000000003</v>
      </c>
      <c r="N14" s="14">
        <v>18.613845000000001</v>
      </c>
      <c r="P14" s="14">
        <f t="shared" si="0"/>
        <v>0.13070582989926108</v>
      </c>
    </row>
    <row r="15" spans="1:16" x14ac:dyDescent="0.25">
      <c r="A15" s="14">
        <v>8</v>
      </c>
      <c r="B15" s="14" t="s">
        <v>24</v>
      </c>
      <c r="C15" s="14" t="s">
        <v>16</v>
      </c>
      <c r="D15" s="15">
        <v>1168386</v>
      </c>
      <c r="E15" s="15">
        <v>52601.806451999997</v>
      </c>
      <c r="F15" s="14">
        <v>349.55645199999998</v>
      </c>
      <c r="G15" s="14" t="s">
        <v>17</v>
      </c>
      <c r="H15" s="14" t="s">
        <v>17</v>
      </c>
      <c r="I15" s="14">
        <v>3192</v>
      </c>
      <c r="J15" s="14">
        <v>287</v>
      </c>
      <c r="K15" s="14">
        <v>485</v>
      </c>
      <c r="L15" s="14">
        <v>366.03571399999998</v>
      </c>
      <c r="M15" s="14">
        <v>32.278548999999998</v>
      </c>
      <c r="N15" s="14">
        <v>18.613845000000001</v>
      </c>
      <c r="P15" s="14">
        <f t="shared" si="0"/>
        <v>3.7345301496999411E-2</v>
      </c>
    </row>
    <row r="16" spans="1:16" x14ac:dyDescent="0.25">
      <c r="A16" s="14">
        <v>9</v>
      </c>
      <c r="B16" s="14" t="s">
        <v>25</v>
      </c>
      <c r="C16" s="14" t="s">
        <v>16</v>
      </c>
      <c r="D16" s="15">
        <v>2954486</v>
      </c>
      <c r="E16" s="15">
        <v>1613588.5806450001</v>
      </c>
      <c r="F16" s="14">
        <v>420.080645</v>
      </c>
      <c r="G16" s="14" t="s">
        <v>17</v>
      </c>
      <c r="H16" s="14" t="s">
        <v>17</v>
      </c>
      <c r="I16" s="14">
        <v>3192</v>
      </c>
      <c r="J16" s="14">
        <v>286</v>
      </c>
      <c r="K16" s="15">
        <v>3025</v>
      </c>
      <c r="L16" s="14">
        <v>925.59085200000004</v>
      </c>
      <c r="M16" s="14">
        <v>622.68101000000001</v>
      </c>
      <c r="N16" s="14">
        <v>18.613845000000001</v>
      </c>
      <c r="P16">
        <f>E16/1613588.580645</f>
        <v>1</v>
      </c>
    </row>
    <row r="17" spans="1:16" x14ac:dyDescent="0.25">
      <c r="A17" s="14">
        <v>10</v>
      </c>
      <c r="B17" s="14" t="s">
        <v>26</v>
      </c>
      <c r="C17" s="14" t="s">
        <v>16</v>
      </c>
      <c r="D17" s="15">
        <v>2870546</v>
      </c>
      <c r="E17" s="15">
        <v>1607595.16129</v>
      </c>
      <c r="F17" s="14">
        <v>395.66129000000001</v>
      </c>
      <c r="G17" s="14" t="s">
        <v>17</v>
      </c>
      <c r="H17" s="14" t="s">
        <v>17</v>
      </c>
      <c r="I17" s="14">
        <v>3192</v>
      </c>
      <c r="J17" s="14">
        <v>287</v>
      </c>
      <c r="K17" s="15">
        <v>3011</v>
      </c>
      <c r="L17" s="14">
        <v>899.29386</v>
      </c>
      <c r="M17" s="14">
        <v>634.89681299999995</v>
      </c>
      <c r="N17" s="14">
        <v>18.613845000000001</v>
      </c>
      <c r="P17" s="14">
        <f t="shared" ref="P17:P23" si="1">E17/1613588.580645</f>
        <v>0.99628565829797555</v>
      </c>
    </row>
    <row r="18" spans="1:16" x14ac:dyDescent="0.25">
      <c r="A18" s="14">
        <v>11</v>
      </c>
      <c r="B18" s="14" t="s">
        <v>27</v>
      </c>
      <c r="C18" s="14" t="s">
        <v>16</v>
      </c>
      <c r="D18" s="15">
        <v>2603953</v>
      </c>
      <c r="E18" s="15">
        <v>1380644.7419350001</v>
      </c>
      <c r="F18" s="14">
        <v>383.24193500000001</v>
      </c>
      <c r="G18" s="14" t="s">
        <v>17</v>
      </c>
      <c r="H18" s="14" t="s">
        <v>17</v>
      </c>
      <c r="I18" s="14">
        <v>3192</v>
      </c>
      <c r="J18" s="14">
        <v>269</v>
      </c>
      <c r="K18" s="15">
        <v>2573</v>
      </c>
      <c r="L18" s="14">
        <v>815.77474900000004</v>
      </c>
      <c r="M18" s="14">
        <v>538.747207</v>
      </c>
      <c r="N18" s="14">
        <v>18.613845000000001</v>
      </c>
      <c r="P18" s="14">
        <f t="shared" si="1"/>
        <v>0.85563616308136903</v>
      </c>
    </row>
    <row r="19" spans="1:16" x14ac:dyDescent="0.25">
      <c r="A19" s="14">
        <v>12</v>
      </c>
      <c r="B19" s="14" t="s">
        <v>28</v>
      </c>
      <c r="C19" s="14" t="s">
        <v>16</v>
      </c>
      <c r="D19" s="15">
        <v>2491784</v>
      </c>
      <c r="E19" s="15">
        <v>1316484.4516129999</v>
      </c>
      <c r="F19" s="14">
        <v>368.20161300000001</v>
      </c>
      <c r="G19" s="14" t="s">
        <v>17</v>
      </c>
      <c r="H19" s="14" t="s">
        <v>17</v>
      </c>
      <c r="I19" s="14">
        <v>3192</v>
      </c>
      <c r="J19" s="14">
        <v>273</v>
      </c>
      <c r="K19" s="15">
        <v>2244</v>
      </c>
      <c r="L19" s="14">
        <v>780.63408500000003</v>
      </c>
      <c r="M19" s="14">
        <v>493.69179500000001</v>
      </c>
      <c r="N19" s="14">
        <v>18.613845000000001</v>
      </c>
      <c r="P19" s="14">
        <f t="shared" si="1"/>
        <v>0.81587367895647933</v>
      </c>
    </row>
    <row r="20" spans="1:16" x14ac:dyDescent="0.25">
      <c r="A20" s="14">
        <v>13</v>
      </c>
      <c r="B20" s="14" t="s">
        <v>29</v>
      </c>
      <c r="C20" s="14" t="s">
        <v>16</v>
      </c>
      <c r="D20" s="15">
        <v>2182651</v>
      </c>
      <c r="E20" s="15">
        <v>1055604.7096770001</v>
      </c>
      <c r="F20" s="14">
        <v>353.084677</v>
      </c>
      <c r="G20" s="14" t="s">
        <v>17</v>
      </c>
      <c r="H20" s="14" t="s">
        <v>17</v>
      </c>
      <c r="I20" s="14">
        <v>3192</v>
      </c>
      <c r="J20" s="14">
        <v>261</v>
      </c>
      <c r="K20" s="15">
        <v>2090</v>
      </c>
      <c r="L20" s="14">
        <v>683.78790700000002</v>
      </c>
      <c r="M20" s="14">
        <v>392.16604100000001</v>
      </c>
      <c r="N20" s="14">
        <v>18.613845000000001</v>
      </c>
      <c r="P20" s="14">
        <f t="shared" si="1"/>
        <v>0.65419693863663997</v>
      </c>
    </row>
    <row r="21" spans="1:16" x14ac:dyDescent="0.25">
      <c r="A21" s="14">
        <v>14</v>
      </c>
      <c r="B21" s="14" t="s">
        <v>30</v>
      </c>
      <c r="C21" s="14" t="s">
        <v>16</v>
      </c>
      <c r="D21" s="15">
        <v>1558388</v>
      </c>
      <c r="E21" s="15">
        <v>485682.93548400002</v>
      </c>
      <c r="F21" s="14">
        <v>336.06048399999997</v>
      </c>
      <c r="G21" s="14" t="s">
        <v>17</v>
      </c>
      <c r="H21" s="14" t="s">
        <v>17</v>
      </c>
      <c r="I21" s="14">
        <v>3192</v>
      </c>
      <c r="J21" s="14">
        <v>251</v>
      </c>
      <c r="K21" s="15">
        <v>1268</v>
      </c>
      <c r="L21" s="14">
        <v>488.216792</v>
      </c>
      <c r="M21" s="14">
        <v>197.45604700000001</v>
      </c>
      <c r="N21" s="14">
        <v>18.613845000000001</v>
      </c>
      <c r="P21" s="14">
        <f t="shared" si="1"/>
        <v>0.30099552098333388</v>
      </c>
    </row>
    <row r="22" spans="1:16" x14ac:dyDescent="0.25">
      <c r="A22" s="14">
        <v>15</v>
      </c>
      <c r="B22" s="14" t="s">
        <v>31</v>
      </c>
      <c r="C22" s="14" t="s">
        <v>16</v>
      </c>
      <c r="D22" s="15">
        <v>1203851</v>
      </c>
      <c r="E22" s="15">
        <v>162962.96774200001</v>
      </c>
      <c r="F22" s="14">
        <v>326.09274199999999</v>
      </c>
      <c r="G22" s="14" t="s">
        <v>17</v>
      </c>
      <c r="H22" s="14" t="s">
        <v>17</v>
      </c>
      <c r="I22" s="14">
        <v>3192</v>
      </c>
      <c r="J22" s="14">
        <v>247</v>
      </c>
      <c r="K22" s="14">
        <v>603</v>
      </c>
      <c r="L22" s="14">
        <v>377.14630299999999</v>
      </c>
      <c r="M22" s="14">
        <v>72.360263000000003</v>
      </c>
      <c r="N22" s="14">
        <v>18.613845000000001</v>
      </c>
      <c r="P22" s="14">
        <f t="shared" si="1"/>
        <v>0.10099412557621025</v>
      </c>
    </row>
    <row r="23" spans="1:16" x14ac:dyDescent="0.25">
      <c r="A23" s="14">
        <v>16</v>
      </c>
      <c r="B23" s="14" t="s">
        <v>32</v>
      </c>
      <c r="C23" s="14" t="s">
        <v>16</v>
      </c>
      <c r="D23" s="15">
        <v>1100183</v>
      </c>
      <c r="E23" s="15">
        <v>83749.806452000004</v>
      </c>
      <c r="F23" s="14">
        <v>318.43145199999998</v>
      </c>
      <c r="G23" s="14" t="s">
        <v>17</v>
      </c>
      <c r="H23" s="14" t="s">
        <v>17</v>
      </c>
      <c r="I23" s="14">
        <v>3192</v>
      </c>
      <c r="J23" s="14">
        <v>246</v>
      </c>
      <c r="K23" s="15">
        <v>5426</v>
      </c>
      <c r="L23" s="14">
        <v>344.66886</v>
      </c>
      <c r="M23" s="14">
        <v>196.877521</v>
      </c>
      <c r="N23" s="14">
        <v>18.613845000000001</v>
      </c>
      <c r="P23" s="14">
        <f t="shared" si="1"/>
        <v>5.1902825451654276E-2</v>
      </c>
    </row>
    <row r="24" spans="1:16" x14ac:dyDescent="0.25">
      <c r="A24" s="14">
        <v>17</v>
      </c>
      <c r="B24" s="14" t="s">
        <v>33</v>
      </c>
      <c r="C24" s="14" t="s">
        <v>16</v>
      </c>
      <c r="D24" s="15">
        <v>3183150</v>
      </c>
      <c r="E24" s="15">
        <v>1878999.193548</v>
      </c>
      <c r="F24" s="14">
        <v>408.56854800000002</v>
      </c>
      <c r="G24" s="14" t="s">
        <v>17</v>
      </c>
      <c r="H24" s="14" t="s">
        <v>17</v>
      </c>
      <c r="I24" s="14">
        <v>3192</v>
      </c>
      <c r="J24" s="14">
        <v>303</v>
      </c>
      <c r="K24" s="15">
        <v>3142</v>
      </c>
      <c r="L24" s="14">
        <v>997.22744399999999</v>
      </c>
      <c r="M24" s="14">
        <v>708.390717</v>
      </c>
      <c r="N24" s="14">
        <v>18.613845000000001</v>
      </c>
      <c r="P24">
        <f>E24/1878999.193548</f>
        <v>1</v>
      </c>
    </row>
    <row r="25" spans="1:16" x14ac:dyDescent="0.25">
      <c r="A25" s="14">
        <v>18</v>
      </c>
      <c r="B25" s="14" t="s">
        <v>34</v>
      </c>
      <c r="C25" s="14" t="s">
        <v>16</v>
      </c>
      <c r="D25" s="15">
        <v>3180465</v>
      </c>
      <c r="E25" s="15">
        <v>1925275.3548389999</v>
      </c>
      <c r="F25" s="14">
        <v>393.22983900000003</v>
      </c>
      <c r="G25" s="14" t="s">
        <v>17</v>
      </c>
      <c r="H25" s="14" t="s">
        <v>17</v>
      </c>
      <c r="I25" s="14">
        <v>3192</v>
      </c>
      <c r="J25" s="14">
        <v>294</v>
      </c>
      <c r="K25" s="15">
        <v>3025</v>
      </c>
      <c r="L25" s="14">
        <v>996.38627799999995</v>
      </c>
      <c r="M25" s="14">
        <v>675.93971699999997</v>
      </c>
      <c r="N25" s="14">
        <v>18.613845000000001</v>
      </c>
      <c r="P25" s="14">
        <f t="shared" ref="P25:P31" si="2">E25/1878999.193548</f>
        <v>1.0246280900225506</v>
      </c>
    </row>
    <row r="26" spans="1:16" x14ac:dyDescent="0.25">
      <c r="A26" s="14">
        <v>19</v>
      </c>
      <c r="B26" s="14" t="s">
        <v>35</v>
      </c>
      <c r="C26" s="14" t="s">
        <v>16</v>
      </c>
      <c r="D26" s="15">
        <v>3034312</v>
      </c>
      <c r="E26" s="15">
        <v>1736159.064516</v>
      </c>
      <c r="F26" s="14">
        <v>406.68951600000003</v>
      </c>
      <c r="G26" s="14" t="s">
        <v>17</v>
      </c>
      <c r="H26" s="14" t="s">
        <v>17</v>
      </c>
      <c r="I26" s="14">
        <v>3192</v>
      </c>
      <c r="J26" s="14">
        <v>289</v>
      </c>
      <c r="K26" s="15">
        <v>2975</v>
      </c>
      <c r="L26" s="14">
        <v>950.59899700000005</v>
      </c>
      <c r="M26" s="14">
        <v>655.81012599999997</v>
      </c>
      <c r="N26" s="14">
        <v>18.613845000000001</v>
      </c>
      <c r="P26" s="14">
        <f t="shared" si="2"/>
        <v>0.92398073957536742</v>
      </c>
    </row>
    <row r="27" spans="1:16" x14ac:dyDescent="0.25">
      <c r="A27" s="14">
        <v>20</v>
      </c>
      <c r="B27" s="14" t="s">
        <v>36</v>
      </c>
      <c r="C27" s="14" t="s">
        <v>16</v>
      </c>
      <c r="D27" s="15">
        <v>2975607</v>
      </c>
      <c r="E27" s="15">
        <v>1657954.5483870001</v>
      </c>
      <c r="F27" s="14">
        <v>412.79838699999999</v>
      </c>
      <c r="G27" s="14" t="s">
        <v>17</v>
      </c>
      <c r="H27" s="14" t="s">
        <v>17</v>
      </c>
      <c r="I27" s="14">
        <v>3192</v>
      </c>
      <c r="J27" s="14">
        <v>277</v>
      </c>
      <c r="K27" s="15">
        <v>12183</v>
      </c>
      <c r="L27" s="14">
        <v>932.20770700000003</v>
      </c>
      <c r="M27" s="14">
        <v>646.58781499999998</v>
      </c>
      <c r="N27" s="14">
        <v>18.613845000000001</v>
      </c>
      <c r="P27" s="14">
        <f t="shared" si="2"/>
        <v>0.88236043638549166</v>
      </c>
    </row>
    <row r="28" spans="1:16" x14ac:dyDescent="0.25">
      <c r="A28" s="14">
        <v>21</v>
      </c>
      <c r="B28" s="14" t="s">
        <v>37</v>
      </c>
      <c r="C28" s="14" t="s">
        <v>16</v>
      </c>
      <c r="D28" s="15">
        <v>2649085</v>
      </c>
      <c r="E28" s="15">
        <v>1433743.870968</v>
      </c>
      <c r="F28" s="14">
        <v>380.745968</v>
      </c>
      <c r="G28" s="14" t="s">
        <v>17</v>
      </c>
      <c r="H28" s="14" t="s">
        <v>17</v>
      </c>
      <c r="I28" s="14">
        <v>3192</v>
      </c>
      <c r="J28" s="14">
        <v>284</v>
      </c>
      <c r="K28" s="15">
        <v>2666</v>
      </c>
      <c r="L28" s="14">
        <v>829.91384700000003</v>
      </c>
      <c r="M28" s="14">
        <v>536.63147700000002</v>
      </c>
      <c r="N28" s="14">
        <v>18.613845000000001</v>
      </c>
      <c r="P28" s="14">
        <f t="shared" si="2"/>
        <v>0.76303591608293808</v>
      </c>
    </row>
    <row r="29" spans="1:16" x14ac:dyDescent="0.25">
      <c r="A29" s="14">
        <v>22</v>
      </c>
      <c r="B29" s="14" t="s">
        <v>38</v>
      </c>
      <c r="C29" s="14" t="s">
        <v>16</v>
      </c>
      <c r="D29" s="15">
        <v>1705229</v>
      </c>
      <c r="E29" s="15">
        <v>571412.58064499998</v>
      </c>
      <c r="F29" s="14">
        <v>355.205645</v>
      </c>
      <c r="G29" s="14" t="s">
        <v>17</v>
      </c>
      <c r="H29" s="14" t="s">
        <v>17</v>
      </c>
      <c r="I29" s="14">
        <v>3192</v>
      </c>
      <c r="J29" s="14">
        <v>282</v>
      </c>
      <c r="K29" s="15">
        <v>1089</v>
      </c>
      <c r="L29" s="14">
        <v>534.21961199999998</v>
      </c>
      <c r="M29" s="14">
        <v>202.272051</v>
      </c>
      <c r="N29" s="14">
        <v>18.613845000000001</v>
      </c>
      <c r="P29" s="14">
        <f t="shared" si="2"/>
        <v>0.30410475034107726</v>
      </c>
    </row>
    <row r="30" spans="1:16" x14ac:dyDescent="0.25">
      <c r="A30" s="14">
        <v>23</v>
      </c>
      <c r="B30" s="14" t="s">
        <v>39</v>
      </c>
      <c r="C30" s="14" t="s">
        <v>16</v>
      </c>
      <c r="D30" s="15">
        <v>1599421</v>
      </c>
      <c r="E30" s="15">
        <v>484293.225806</v>
      </c>
      <c r="F30" s="14">
        <v>349.35080599999998</v>
      </c>
      <c r="G30" s="14" t="s">
        <v>17</v>
      </c>
      <c r="H30" s="14" t="s">
        <v>17</v>
      </c>
      <c r="I30" s="14">
        <v>3192</v>
      </c>
      <c r="J30" s="14">
        <v>288</v>
      </c>
      <c r="K30" s="15">
        <v>1033</v>
      </c>
      <c r="L30" s="14">
        <v>501.07174199999997</v>
      </c>
      <c r="M30" s="14">
        <v>167.49211099999999</v>
      </c>
      <c r="N30" s="14">
        <v>18.613845000000001</v>
      </c>
      <c r="P30" s="14">
        <f t="shared" si="2"/>
        <v>0.25773998598239872</v>
      </c>
    </row>
    <row r="31" spans="1:16" x14ac:dyDescent="0.25">
      <c r="A31" s="14">
        <v>24</v>
      </c>
      <c r="B31" s="14" t="s">
        <v>40</v>
      </c>
      <c r="C31" s="14" t="s">
        <v>16</v>
      </c>
      <c r="D31" s="15">
        <v>1272753</v>
      </c>
      <c r="E31" s="15">
        <v>66627.483871000004</v>
      </c>
      <c r="F31" s="14">
        <v>377.85887100000002</v>
      </c>
      <c r="G31" s="14" t="s">
        <v>17</v>
      </c>
      <c r="H31" s="14" t="s">
        <v>17</v>
      </c>
      <c r="I31" s="14">
        <v>3192</v>
      </c>
      <c r="J31" s="14">
        <v>277</v>
      </c>
      <c r="K31" s="14">
        <v>633</v>
      </c>
      <c r="L31" s="14">
        <v>398.73214300000001</v>
      </c>
      <c r="M31" s="14">
        <v>63.824418000000001</v>
      </c>
      <c r="N31" s="14">
        <v>18.613845000000001</v>
      </c>
      <c r="P31" s="14">
        <f t="shared" si="2"/>
        <v>3.5459027390635209E-2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selection activeCell="N1" sqref="N1:O1048576"/>
    </sheetView>
  </sheetViews>
  <sheetFormatPr defaultRowHeight="15" x14ac:dyDescent="0.25"/>
  <cols>
    <col min="2" max="2" width="13.140625" customWidth="1"/>
    <col min="11" max="13" width="9.140625" style="14"/>
  </cols>
  <sheetData>
    <row r="1" spans="1:15" x14ac:dyDescent="0.25">
      <c r="A1" s="2" t="s">
        <v>53</v>
      </c>
      <c r="B1" s="12" t="s">
        <v>65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63</v>
      </c>
      <c r="H1" s="2" t="s">
        <v>64</v>
      </c>
      <c r="K1" s="2" t="s">
        <v>55</v>
      </c>
      <c r="L1" s="2" t="s">
        <v>68</v>
      </c>
      <c r="M1" s="2" t="s">
        <v>57</v>
      </c>
      <c r="N1" s="2" t="s">
        <v>63</v>
      </c>
      <c r="O1" s="2" t="s">
        <v>64</v>
      </c>
    </row>
    <row r="2" spans="1:15" x14ac:dyDescent="0.25">
      <c r="A2" t="s">
        <v>58</v>
      </c>
      <c r="B2" s="11">
        <v>0</v>
      </c>
      <c r="C2" t="s">
        <v>60</v>
      </c>
      <c r="D2">
        <v>1</v>
      </c>
      <c r="E2">
        <v>1</v>
      </c>
      <c r="F2">
        <v>1</v>
      </c>
      <c r="G2">
        <f>AVERAGE(D2:F2)</f>
        <v>1</v>
      </c>
      <c r="H2">
        <f>_xlfn.STDEV.S(D2:F2)</f>
        <v>0</v>
      </c>
      <c r="K2" s="14">
        <v>1</v>
      </c>
      <c r="L2" s="14">
        <v>1</v>
      </c>
      <c r="M2" s="14">
        <v>1</v>
      </c>
      <c r="N2">
        <f>AVERAGE(K2:M2)</f>
        <v>1</v>
      </c>
      <c r="O2">
        <f>_xlfn.STDEV.S(K2:M2)</f>
        <v>0</v>
      </c>
    </row>
    <row r="3" spans="1:15" x14ac:dyDescent="0.25">
      <c r="A3" s="8" t="s">
        <v>58</v>
      </c>
      <c r="B3" s="11">
        <v>1</v>
      </c>
      <c r="C3" s="8" t="s">
        <v>60</v>
      </c>
      <c r="D3">
        <v>0.89542437444115786</v>
      </c>
      <c r="E3">
        <v>0.92478972838739415</v>
      </c>
      <c r="F3">
        <v>0.456417545007338</v>
      </c>
      <c r="G3" s="8">
        <f t="shared" ref="G3:G49" si="0">AVERAGE(D3:F3)</f>
        <v>0.75887721594529667</v>
      </c>
      <c r="H3" s="8">
        <f t="shared" ref="H3:H49" si="1">_xlfn.STDEV.S(D3:F3)</f>
        <v>0.26234894779857743</v>
      </c>
      <c r="K3" s="14">
        <v>0.89542437444115786</v>
      </c>
      <c r="L3" s="14">
        <v>0.63566904256073808</v>
      </c>
      <c r="M3" s="14">
        <v>0.456417545007338</v>
      </c>
      <c r="N3" s="14">
        <f t="shared" ref="N3:N25" si="2">AVERAGE(K3:M3)</f>
        <v>0.66250365400307798</v>
      </c>
      <c r="O3" s="14">
        <f t="shared" ref="O3:O25" si="3">_xlfn.STDEV.S(K3:M3)</f>
        <v>0.22073020035969207</v>
      </c>
    </row>
    <row r="4" spans="1:15" x14ac:dyDescent="0.25">
      <c r="A4" s="8" t="s">
        <v>58</v>
      </c>
      <c r="B4" s="11">
        <v>3</v>
      </c>
      <c r="C4" s="8" t="s">
        <v>60</v>
      </c>
      <c r="D4">
        <v>0.60819575363832201</v>
      </c>
      <c r="E4">
        <v>0.70294275242466753</v>
      </c>
      <c r="F4">
        <v>0.24637605490496148</v>
      </c>
      <c r="G4" s="8">
        <f t="shared" si="0"/>
        <v>0.51917152032265024</v>
      </c>
      <c r="H4" s="8">
        <f t="shared" si="1"/>
        <v>0.24095076864184337</v>
      </c>
      <c r="K4" s="14">
        <v>0.60819575363832201</v>
      </c>
      <c r="L4" s="14">
        <v>0.34944110627854447</v>
      </c>
      <c r="M4" s="14">
        <v>0.24637605490496148</v>
      </c>
      <c r="N4" s="14">
        <f t="shared" si="2"/>
        <v>0.40133763827394264</v>
      </c>
      <c r="O4" s="14">
        <f t="shared" si="3"/>
        <v>0.18640898884639923</v>
      </c>
    </row>
    <row r="5" spans="1:15" x14ac:dyDescent="0.25">
      <c r="A5" s="8" t="s">
        <v>58</v>
      </c>
      <c r="B5" s="11">
        <v>5</v>
      </c>
      <c r="C5" s="8" t="s">
        <v>60</v>
      </c>
      <c r="D5">
        <v>0.43539655029065749</v>
      </c>
      <c r="E5">
        <v>0.69078765969570821</v>
      </c>
      <c r="F5">
        <v>0.10673831917711499</v>
      </c>
      <c r="G5" s="8">
        <f t="shared" si="0"/>
        <v>0.41097417638782691</v>
      </c>
      <c r="H5" s="8">
        <f t="shared" si="1"/>
        <v>0.29278959561490264</v>
      </c>
      <c r="K5" s="14">
        <v>0.43539655029065749</v>
      </c>
      <c r="L5" s="14">
        <v>0.23937660353716395</v>
      </c>
      <c r="M5" s="14">
        <v>0.10673831917711499</v>
      </c>
      <c r="N5" s="14">
        <f t="shared" si="2"/>
        <v>0.26050382433497882</v>
      </c>
      <c r="O5" s="14">
        <f t="shared" si="3"/>
        <v>0.16534457297912863</v>
      </c>
    </row>
    <row r="6" spans="1:15" x14ac:dyDescent="0.25">
      <c r="A6" s="8" t="s">
        <v>58</v>
      </c>
      <c r="B6" s="11">
        <v>10</v>
      </c>
      <c r="C6" s="8" t="s">
        <v>60</v>
      </c>
      <c r="D6">
        <v>0.24377324603431597</v>
      </c>
      <c r="E6">
        <v>0.49610596115939631</v>
      </c>
      <c r="F6">
        <v>6.9378538517183425E-2</v>
      </c>
      <c r="G6" s="8">
        <f t="shared" si="0"/>
        <v>0.26975258190363188</v>
      </c>
      <c r="H6" s="8">
        <f t="shared" si="1"/>
        <v>0.21454665629618766</v>
      </c>
      <c r="K6" s="14">
        <v>0.24377324603431597</v>
      </c>
      <c r="L6" s="14">
        <v>0.12565230655220036</v>
      </c>
      <c r="M6" s="14">
        <v>6.9378538517183425E-2</v>
      </c>
      <c r="N6" s="14">
        <f t="shared" si="2"/>
        <v>0.14626803036789993</v>
      </c>
      <c r="O6" s="14">
        <f t="shared" si="3"/>
        <v>8.9006373669701003E-2</v>
      </c>
    </row>
    <row r="7" spans="1:15" x14ac:dyDescent="0.25">
      <c r="A7" s="8" t="s">
        <v>58</v>
      </c>
      <c r="B7" s="11">
        <v>30</v>
      </c>
      <c r="C7" s="8" t="s">
        <v>60</v>
      </c>
      <c r="D7">
        <v>8.5923664166272576E-2</v>
      </c>
      <c r="E7">
        <v>0.19488270210550548</v>
      </c>
      <c r="F7">
        <v>4.3772227153120041E-2</v>
      </c>
      <c r="G7" s="8">
        <f t="shared" si="0"/>
        <v>0.10819286447496605</v>
      </c>
      <c r="H7" s="8">
        <f t="shared" si="1"/>
        <v>7.7977765240326069E-2</v>
      </c>
      <c r="K7" s="14">
        <v>8.5923664166272576E-2</v>
      </c>
      <c r="L7" s="14">
        <v>8.5805063960584751E-2</v>
      </c>
      <c r="M7" s="14">
        <v>4.3772227153120041E-2</v>
      </c>
      <c r="N7" s="14">
        <f t="shared" si="2"/>
        <v>7.1833651759992456E-2</v>
      </c>
      <c r="O7" s="14">
        <f t="shared" si="3"/>
        <v>2.430197892616124E-2</v>
      </c>
    </row>
    <row r="8" spans="1:15" x14ac:dyDescent="0.25">
      <c r="A8" s="8" t="s">
        <v>58</v>
      </c>
      <c r="B8" s="11">
        <v>60</v>
      </c>
      <c r="C8" s="8" t="s">
        <v>60</v>
      </c>
      <c r="D8" s="10">
        <v>0.38020678114510814</v>
      </c>
      <c r="E8">
        <v>0.16719001304732559</v>
      </c>
      <c r="F8">
        <v>4.1004335897577793E-2</v>
      </c>
      <c r="G8" s="8">
        <f t="shared" si="0"/>
        <v>0.19613371003000382</v>
      </c>
      <c r="H8" s="8">
        <f t="shared" si="1"/>
        <v>0.17144351230578775</v>
      </c>
      <c r="K8" s="10"/>
      <c r="L8" s="14">
        <v>6.6554220625801408E-2</v>
      </c>
      <c r="M8" s="14">
        <v>4.1004335897577793E-2</v>
      </c>
      <c r="N8" s="14">
        <f t="shared" si="2"/>
        <v>5.37792782616896E-2</v>
      </c>
      <c r="O8" s="14">
        <f t="shared" si="3"/>
        <v>1.8066496749861521E-2</v>
      </c>
    </row>
    <row r="9" spans="1:15" x14ac:dyDescent="0.25">
      <c r="A9" s="8" t="s">
        <v>58</v>
      </c>
      <c r="B9" s="11">
        <v>120</v>
      </c>
      <c r="C9" s="8" t="s">
        <v>60</v>
      </c>
      <c r="D9">
        <v>7.141956960400847E-2</v>
      </c>
      <c r="E9">
        <v>0.11359678286757759</v>
      </c>
      <c r="F9">
        <v>3.6913541009382239E-2</v>
      </c>
      <c r="G9" s="8">
        <f t="shared" si="0"/>
        <v>7.3976631160322756E-2</v>
      </c>
      <c r="H9" s="8">
        <f t="shared" si="1"/>
        <v>3.8405518071270815E-2</v>
      </c>
      <c r="K9" s="14">
        <v>7.141956960400847E-2</v>
      </c>
      <c r="L9" s="14">
        <v>4.5693174822423958E-2</v>
      </c>
      <c r="M9" s="14">
        <v>3.6913541009382239E-2</v>
      </c>
      <c r="N9" s="14">
        <f t="shared" si="2"/>
        <v>5.1342095145271556E-2</v>
      </c>
      <c r="O9" s="14">
        <f t="shared" si="3"/>
        <v>1.7933187891551843E-2</v>
      </c>
    </row>
    <row r="10" spans="1:15" x14ac:dyDescent="0.25">
      <c r="A10" s="8" t="s">
        <v>58</v>
      </c>
      <c r="B10" s="11">
        <v>0</v>
      </c>
      <c r="C10" t="s">
        <v>61</v>
      </c>
      <c r="D10">
        <v>1</v>
      </c>
      <c r="E10">
        <v>1</v>
      </c>
      <c r="F10">
        <v>1</v>
      </c>
      <c r="G10" s="8">
        <f t="shared" si="0"/>
        <v>1</v>
      </c>
      <c r="H10" s="8">
        <f t="shared" si="1"/>
        <v>0</v>
      </c>
      <c r="K10" s="14">
        <v>1</v>
      </c>
      <c r="L10" s="14">
        <v>1</v>
      </c>
      <c r="M10" s="14">
        <v>1</v>
      </c>
      <c r="N10" s="14">
        <f t="shared" si="2"/>
        <v>1</v>
      </c>
      <c r="O10" s="14">
        <f t="shared" si="3"/>
        <v>0</v>
      </c>
    </row>
    <row r="11" spans="1:15" x14ac:dyDescent="0.25">
      <c r="A11" s="8" t="s">
        <v>58</v>
      </c>
      <c r="B11" s="11">
        <v>1</v>
      </c>
      <c r="C11" s="8" t="s">
        <v>61</v>
      </c>
      <c r="D11">
        <v>0.83660057322047499</v>
      </c>
      <c r="E11">
        <v>0.97692153996268571</v>
      </c>
      <c r="F11">
        <v>0.78948716615171521</v>
      </c>
      <c r="G11" s="8">
        <f t="shared" si="0"/>
        <v>0.86766975977829197</v>
      </c>
      <c r="H11" s="8">
        <f t="shared" si="1"/>
        <v>9.7503240389747975E-2</v>
      </c>
      <c r="K11" s="14">
        <v>0.83660057322047499</v>
      </c>
      <c r="L11" s="14">
        <v>0.7246622643698265</v>
      </c>
      <c r="M11" s="14">
        <v>0.78948716615171521</v>
      </c>
      <c r="N11" s="14">
        <f t="shared" si="2"/>
        <v>0.7835833345806722</v>
      </c>
      <c r="O11" s="14">
        <f t="shared" si="3"/>
        <v>5.620220340431703E-2</v>
      </c>
    </row>
    <row r="12" spans="1:15" x14ac:dyDescent="0.25">
      <c r="A12" s="8" t="s">
        <v>58</v>
      </c>
      <c r="B12" s="11">
        <v>3</v>
      </c>
      <c r="C12" s="8" t="s">
        <v>61</v>
      </c>
      <c r="D12">
        <v>0.61878127859868037</v>
      </c>
      <c r="E12">
        <v>0.77926272636554827</v>
      </c>
      <c r="F12">
        <v>0.66483728922344876</v>
      </c>
      <c r="G12" s="8">
        <f t="shared" si="0"/>
        <v>0.68762709806255906</v>
      </c>
      <c r="H12" s="8">
        <f t="shared" si="1"/>
        <v>8.2632350260233328E-2</v>
      </c>
      <c r="K12" s="14">
        <v>0.61878127859868037</v>
      </c>
      <c r="L12" s="14">
        <v>0.41669461471901525</v>
      </c>
      <c r="M12" s="14">
        <v>0.66483728922344876</v>
      </c>
      <c r="N12" s="14">
        <f t="shared" si="2"/>
        <v>0.56677106084704809</v>
      </c>
      <c r="O12" s="14">
        <f t="shared" si="3"/>
        <v>0.13199429453761438</v>
      </c>
    </row>
    <row r="13" spans="1:15" x14ac:dyDescent="0.25">
      <c r="A13" s="8" t="s">
        <v>58</v>
      </c>
      <c r="B13" s="11">
        <v>5</v>
      </c>
      <c r="C13" s="8" t="s">
        <v>61</v>
      </c>
      <c r="D13">
        <v>0.36737572591571893</v>
      </c>
      <c r="E13">
        <v>0.75991463098959766</v>
      </c>
      <c r="F13">
        <v>0.45972826413354906</v>
      </c>
      <c r="G13" s="8">
        <f t="shared" si="0"/>
        <v>0.5290062070129552</v>
      </c>
      <c r="H13" s="8">
        <f t="shared" si="1"/>
        <v>0.2052346779332177</v>
      </c>
      <c r="K13" s="14">
        <v>0.36737572591571893</v>
      </c>
      <c r="L13" s="14">
        <v>0.27764462072746504</v>
      </c>
      <c r="M13" s="14">
        <v>0.45972826413354906</v>
      </c>
      <c r="N13" s="14">
        <f t="shared" si="2"/>
        <v>0.36824953692557766</v>
      </c>
      <c r="O13" s="14">
        <f t="shared" si="3"/>
        <v>9.1044966682783834E-2</v>
      </c>
    </row>
    <row r="14" spans="1:15" x14ac:dyDescent="0.25">
      <c r="A14" s="8" t="s">
        <v>58</v>
      </c>
      <c r="B14" s="11">
        <v>10</v>
      </c>
      <c r="C14" s="8" t="s">
        <v>61</v>
      </c>
      <c r="D14">
        <v>0.20971127320857627</v>
      </c>
      <c r="E14">
        <v>0.61608070084871991</v>
      </c>
      <c r="F14">
        <v>9.1222502670548392E-2</v>
      </c>
      <c r="G14" s="8">
        <f t="shared" si="0"/>
        <v>0.30567149224261486</v>
      </c>
      <c r="H14" s="8">
        <f t="shared" si="1"/>
        <v>0.27527314575981554</v>
      </c>
      <c r="K14" s="14">
        <v>0.20971127320857627</v>
      </c>
      <c r="L14" s="14">
        <v>0.10333533249481541</v>
      </c>
      <c r="M14" s="14">
        <v>9.1222502670548392E-2</v>
      </c>
      <c r="N14" s="14">
        <f t="shared" si="2"/>
        <v>0.13475636945798003</v>
      </c>
      <c r="O14" s="14">
        <f t="shared" si="3"/>
        <v>6.5194772480496974E-2</v>
      </c>
    </row>
    <row r="15" spans="1:15" x14ac:dyDescent="0.25">
      <c r="A15" s="8" t="s">
        <v>58</v>
      </c>
      <c r="B15" s="11">
        <v>30</v>
      </c>
      <c r="C15" s="8" t="s">
        <v>61</v>
      </c>
      <c r="D15">
        <v>9.0582355621552743E-2</v>
      </c>
      <c r="E15">
        <v>0.37478588951623598</v>
      </c>
      <c r="F15">
        <v>1.3062668769927949E-2</v>
      </c>
      <c r="G15" s="8">
        <f t="shared" si="0"/>
        <v>0.15947697130257224</v>
      </c>
      <c r="H15" s="8">
        <f t="shared" si="1"/>
        <v>0.19044887282193904</v>
      </c>
      <c r="K15" s="14">
        <v>9.0582355621552743E-2</v>
      </c>
      <c r="L15" s="14">
        <v>2.9756013923651257E-2</v>
      </c>
      <c r="M15" s="14">
        <v>1.3062668769927949E-2</v>
      </c>
      <c r="N15" s="14">
        <f t="shared" si="2"/>
        <v>4.4467012771710647E-2</v>
      </c>
      <c r="O15" s="14">
        <f t="shared" si="3"/>
        <v>4.0799945805407592E-2</v>
      </c>
    </row>
    <row r="16" spans="1:15" x14ac:dyDescent="0.25">
      <c r="A16" s="8" t="s">
        <v>58</v>
      </c>
      <c r="B16" s="11">
        <v>60</v>
      </c>
      <c r="C16" s="8" t="s">
        <v>61</v>
      </c>
      <c r="D16">
        <v>4.8086148670034121E-2</v>
      </c>
      <c r="E16">
        <v>0.303952853834424</v>
      </c>
      <c r="F16">
        <v>3.3635889693992407E-2</v>
      </c>
      <c r="G16" s="8">
        <f t="shared" si="0"/>
        <v>0.12855829739948352</v>
      </c>
      <c r="H16" s="8">
        <f t="shared" si="1"/>
        <v>0.15206788062038545</v>
      </c>
      <c r="K16" s="14">
        <v>4.8086148670034121E-2</v>
      </c>
      <c r="L16" s="14">
        <v>2.3494903775219008E-2</v>
      </c>
      <c r="M16" s="14">
        <v>3.3635889693992407E-2</v>
      </c>
      <c r="N16" s="14">
        <f t="shared" si="2"/>
        <v>3.5072314046415178E-2</v>
      </c>
      <c r="O16" s="14">
        <f t="shared" si="3"/>
        <v>1.2358390573184178E-2</v>
      </c>
    </row>
    <row r="17" spans="1:15" x14ac:dyDescent="0.25">
      <c r="A17" s="8" t="s">
        <v>58</v>
      </c>
      <c r="B17" s="11">
        <v>120</v>
      </c>
      <c r="C17" s="8" t="s">
        <v>61</v>
      </c>
      <c r="D17">
        <v>5.4816472385455966E-3</v>
      </c>
      <c r="E17">
        <v>0.3164956313945978</v>
      </c>
      <c r="F17">
        <v>3.1993832348923681E-2</v>
      </c>
      <c r="G17" s="8">
        <f t="shared" si="0"/>
        <v>0.1179903703273557</v>
      </c>
      <c r="H17" s="8">
        <f t="shared" si="1"/>
        <v>0.17242093258465516</v>
      </c>
      <c r="K17" s="14">
        <v>5.4816472385455966E-3</v>
      </c>
      <c r="L17" s="14">
        <v>1.2383449157247806E-2</v>
      </c>
      <c r="M17" s="14">
        <v>3.1993832348923681E-2</v>
      </c>
      <c r="N17" s="14">
        <f t="shared" si="2"/>
        <v>1.6619642914905693E-2</v>
      </c>
      <c r="O17" s="14">
        <f t="shared" si="3"/>
        <v>1.3754380865602532E-2</v>
      </c>
    </row>
    <row r="18" spans="1:15" x14ac:dyDescent="0.25">
      <c r="A18" s="8" t="s">
        <v>58</v>
      </c>
      <c r="B18" s="11">
        <v>0</v>
      </c>
      <c r="C18" t="s">
        <v>62</v>
      </c>
      <c r="D18">
        <v>0.99999999944031759</v>
      </c>
      <c r="E18">
        <v>1</v>
      </c>
      <c r="F18">
        <v>1</v>
      </c>
      <c r="G18" s="8">
        <f t="shared" si="0"/>
        <v>0.99999999981343912</v>
      </c>
      <c r="H18" s="8">
        <f t="shared" si="1"/>
        <v>3.2313279095597664E-10</v>
      </c>
      <c r="K18" s="14">
        <v>0.99999999944031759</v>
      </c>
      <c r="L18" s="14">
        <v>1</v>
      </c>
      <c r="M18" s="14">
        <v>1</v>
      </c>
      <c r="N18" s="14">
        <f t="shared" si="2"/>
        <v>0.99999999981343912</v>
      </c>
      <c r="O18" s="14">
        <f t="shared" si="3"/>
        <v>3.2313279095597664E-10</v>
      </c>
    </row>
    <row r="19" spans="1:15" x14ac:dyDescent="0.25">
      <c r="A19" s="8" t="s">
        <v>58</v>
      </c>
      <c r="B19" s="11">
        <v>1</v>
      </c>
      <c r="C19" s="8" t="s">
        <v>62</v>
      </c>
      <c r="D19">
        <v>0.89477771518341009</v>
      </c>
      <c r="E19">
        <v>0.92266046053736606</v>
      </c>
      <c r="F19">
        <v>0.93652653588196189</v>
      </c>
      <c r="G19" s="8">
        <f t="shared" si="0"/>
        <v>0.91798823720091283</v>
      </c>
      <c r="H19" s="8">
        <f t="shared" si="1"/>
        <v>2.1262955124093905E-2</v>
      </c>
      <c r="K19" s="14">
        <v>0.89477771518341009</v>
      </c>
      <c r="L19" s="14">
        <v>0.85489303200447142</v>
      </c>
      <c r="M19" s="14">
        <v>0.93652653588196189</v>
      </c>
      <c r="N19" s="14">
        <f t="shared" si="2"/>
        <v>0.89539909435661436</v>
      </c>
      <c r="O19" s="14">
        <f t="shared" si="3"/>
        <v>4.0820299152342476E-2</v>
      </c>
    </row>
    <row r="20" spans="1:15" x14ac:dyDescent="0.25">
      <c r="A20" s="8" t="s">
        <v>58</v>
      </c>
      <c r="B20" s="11">
        <v>3</v>
      </c>
      <c r="C20" s="8" t="s">
        <v>62</v>
      </c>
      <c r="D20">
        <v>0.72700646505833366</v>
      </c>
      <c r="E20">
        <v>0.7729155003428928</v>
      </c>
      <c r="F20">
        <v>0.98663404301332669</v>
      </c>
      <c r="G20" s="8">
        <f t="shared" si="0"/>
        <v>0.82885200280485105</v>
      </c>
      <c r="H20" s="8">
        <f t="shared" si="1"/>
        <v>0.13855789057087847</v>
      </c>
      <c r="K20" s="14">
        <v>0.72700646505833366</v>
      </c>
      <c r="L20" s="14">
        <v>0.62620982351221666</v>
      </c>
      <c r="M20" s="14">
        <v>0.98663404301332669</v>
      </c>
      <c r="N20" s="14">
        <f t="shared" si="2"/>
        <v>0.77995011052795904</v>
      </c>
      <c r="O20" s="14">
        <f t="shared" si="3"/>
        <v>0.18595342615143229</v>
      </c>
    </row>
    <row r="21" spans="1:15" x14ac:dyDescent="0.25">
      <c r="A21" s="8" t="s">
        <v>58</v>
      </c>
      <c r="B21" s="11">
        <v>5</v>
      </c>
      <c r="C21" s="8" t="s">
        <v>62</v>
      </c>
      <c r="D21">
        <v>0.66896963150941591</v>
      </c>
      <c r="E21">
        <v>0.73192987002405674</v>
      </c>
      <c r="F21">
        <v>0.86064156573247463</v>
      </c>
      <c r="G21" s="8">
        <f t="shared" si="0"/>
        <v>0.75384702242198243</v>
      </c>
      <c r="H21" s="8">
        <f t="shared" si="1"/>
        <v>9.7697511581040716E-2</v>
      </c>
      <c r="K21" s="14">
        <v>0.66896963150941591</v>
      </c>
      <c r="L21" s="14">
        <v>0.49369187204239284</v>
      </c>
      <c r="M21" s="14">
        <v>0.86064156573247463</v>
      </c>
      <c r="N21" s="14">
        <f t="shared" si="2"/>
        <v>0.67443435642809446</v>
      </c>
      <c r="O21" s="14">
        <f t="shared" si="3"/>
        <v>0.18353587343797068</v>
      </c>
    </row>
    <row r="22" spans="1:15" x14ac:dyDescent="0.25">
      <c r="A22" s="8" t="s">
        <v>58</v>
      </c>
      <c r="B22" s="11">
        <v>10</v>
      </c>
      <c r="C22" s="8" t="s">
        <v>62</v>
      </c>
      <c r="D22">
        <v>0.51989418760192829</v>
      </c>
      <c r="E22">
        <v>0.71025905681904922</v>
      </c>
      <c r="F22">
        <v>0.70395724405048865</v>
      </c>
      <c r="G22" s="8">
        <f t="shared" si="0"/>
        <v>0.64470349615715539</v>
      </c>
      <c r="H22" s="8">
        <f t="shared" si="1"/>
        <v>0.1081339485895523</v>
      </c>
      <c r="K22" s="14">
        <v>0.51989418760192829</v>
      </c>
      <c r="L22" s="14">
        <v>0.35422119006041114</v>
      </c>
      <c r="M22" s="14">
        <v>0.70395724405048865</v>
      </c>
      <c r="N22" s="14">
        <f t="shared" si="2"/>
        <v>0.52602420723760934</v>
      </c>
      <c r="O22" s="14">
        <f t="shared" si="3"/>
        <v>0.17494859165105625</v>
      </c>
    </row>
    <row r="23" spans="1:15" x14ac:dyDescent="0.25">
      <c r="A23" s="8" t="s">
        <v>58</v>
      </c>
      <c r="B23" s="11">
        <v>30</v>
      </c>
      <c r="C23" s="8" t="s">
        <v>62</v>
      </c>
      <c r="D23">
        <v>0.24817010409557627</v>
      </c>
      <c r="E23">
        <v>0.62800372225215972</v>
      </c>
      <c r="F23">
        <v>0.35578060719667809</v>
      </c>
      <c r="G23" s="8">
        <f t="shared" si="0"/>
        <v>0.41065147784813805</v>
      </c>
      <c r="H23" s="8">
        <f t="shared" si="1"/>
        <v>0.19577156000046897</v>
      </c>
      <c r="K23" s="14">
        <v>0.24817010409557627</v>
      </c>
      <c r="L23" s="14">
        <v>0.14480620095237537</v>
      </c>
      <c r="M23" s="14">
        <v>0.35578060719667809</v>
      </c>
      <c r="N23" s="14">
        <f t="shared" si="2"/>
        <v>0.2495856374148766</v>
      </c>
      <c r="O23" s="14">
        <f t="shared" si="3"/>
        <v>0.10549432602499308</v>
      </c>
    </row>
    <row r="24" spans="1:15" x14ac:dyDescent="0.25">
      <c r="A24" s="8" t="s">
        <v>58</v>
      </c>
      <c r="B24" s="11">
        <v>60</v>
      </c>
      <c r="C24" s="8" t="s">
        <v>62</v>
      </c>
      <c r="D24">
        <v>0.18254595008199001</v>
      </c>
      <c r="E24">
        <v>0.5881203297838522</v>
      </c>
      <c r="F24">
        <v>0.21672927812431123</v>
      </c>
      <c r="G24" s="8">
        <f t="shared" si="0"/>
        <v>0.32913185266338446</v>
      </c>
      <c r="H24" s="8">
        <f t="shared" si="1"/>
        <v>0.22494087765432169</v>
      </c>
      <c r="K24" s="14">
        <v>0.18254595008199001</v>
      </c>
      <c r="L24" s="14">
        <v>0.10002670933048112</v>
      </c>
      <c r="M24" s="14">
        <v>0.21672927812431123</v>
      </c>
      <c r="N24" s="14">
        <f t="shared" si="2"/>
        <v>0.16643397917892744</v>
      </c>
      <c r="O24" s="14">
        <f t="shared" si="3"/>
        <v>5.9996409022169919E-2</v>
      </c>
    </row>
    <row r="25" spans="1:15" x14ac:dyDescent="0.25">
      <c r="A25" s="8" t="s">
        <v>58</v>
      </c>
      <c r="B25" s="11">
        <v>120</v>
      </c>
      <c r="C25" s="8" t="s">
        <v>62</v>
      </c>
      <c r="D25">
        <v>0.16753133031820322</v>
      </c>
      <c r="E25">
        <v>0.39984213643624178</v>
      </c>
      <c r="F25">
        <v>0.19220696000662116</v>
      </c>
      <c r="G25" s="8">
        <f t="shared" si="0"/>
        <v>0.25319347558702204</v>
      </c>
      <c r="H25" s="8">
        <f t="shared" si="1"/>
        <v>0.12759934941755025</v>
      </c>
      <c r="K25" s="14">
        <v>0.16753133031820322</v>
      </c>
      <c r="L25" s="14">
        <v>7.6707185589045893E-2</v>
      </c>
      <c r="M25" s="14">
        <v>0.19220696000662116</v>
      </c>
      <c r="N25" s="14">
        <f t="shared" si="2"/>
        <v>0.14548182530462342</v>
      </c>
      <c r="O25" s="14">
        <f t="shared" si="3"/>
        <v>6.0825035767647556E-2</v>
      </c>
    </row>
    <row r="26" spans="1:15" x14ac:dyDescent="0.25">
      <c r="A26" t="s">
        <v>59</v>
      </c>
      <c r="B26" s="11">
        <v>0</v>
      </c>
      <c r="C26" s="8" t="s">
        <v>60</v>
      </c>
      <c r="D26">
        <v>1</v>
      </c>
      <c r="E26">
        <v>1</v>
      </c>
      <c r="F26">
        <v>1</v>
      </c>
      <c r="G26" s="8">
        <f t="shared" si="0"/>
        <v>1</v>
      </c>
      <c r="H26" s="8">
        <f t="shared" si="1"/>
        <v>0</v>
      </c>
      <c r="K26" s="14">
        <v>1</v>
      </c>
      <c r="L26" s="14">
        <v>1</v>
      </c>
      <c r="M26" s="14">
        <v>1</v>
      </c>
      <c r="N26" s="14">
        <f>AVERAGE(K26:M26)</f>
        <v>1</v>
      </c>
      <c r="O26" s="14">
        <f>_xlfn.STDEV.S(K26:M26)</f>
        <v>0</v>
      </c>
    </row>
    <row r="27" spans="1:15" x14ac:dyDescent="0.25">
      <c r="A27" s="8" t="s">
        <v>59</v>
      </c>
      <c r="B27" s="11">
        <v>1</v>
      </c>
      <c r="C27" s="8" t="s">
        <v>60</v>
      </c>
      <c r="D27">
        <v>1.1344876583674555</v>
      </c>
      <c r="E27">
        <v>0.77292729099575463</v>
      </c>
      <c r="F27">
        <v>1.0028158876598197</v>
      </c>
      <c r="G27" s="8">
        <f t="shared" si="0"/>
        <v>0.97007694567434333</v>
      </c>
      <c r="H27" s="8">
        <f t="shared" si="1"/>
        <v>0.18299003676494571</v>
      </c>
      <c r="K27" s="14">
        <v>1.1344876583674555</v>
      </c>
      <c r="L27" s="14">
        <v>0.82352766178133685</v>
      </c>
      <c r="M27" s="14">
        <v>1.0028158876598197</v>
      </c>
      <c r="N27" s="14">
        <f t="shared" ref="N27:N49" si="4">AVERAGE(K27:M27)</f>
        <v>0.98694373593620399</v>
      </c>
      <c r="O27" s="14">
        <f t="shared" ref="O27:O49" si="5">_xlfn.STDEV.S(K27:M27)</f>
        <v>0.15608643044628531</v>
      </c>
    </row>
    <row r="28" spans="1:15" x14ac:dyDescent="0.25">
      <c r="A28" s="8" t="s">
        <v>59</v>
      </c>
      <c r="B28" s="11">
        <v>3</v>
      </c>
      <c r="C28" s="8" t="s">
        <v>60</v>
      </c>
      <c r="D28">
        <v>1.0078982374709398</v>
      </c>
      <c r="E28">
        <v>0.81232460703873244</v>
      </c>
      <c r="F28">
        <v>0.84695750543467963</v>
      </c>
      <c r="G28" s="8">
        <f t="shared" si="0"/>
        <v>0.88906011664811724</v>
      </c>
      <c r="H28" s="8">
        <f t="shared" si="1"/>
        <v>0.10436346886411364</v>
      </c>
      <c r="K28" s="14">
        <v>1.0078982374709398</v>
      </c>
      <c r="L28" s="14">
        <v>0.86890128610347805</v>
      </c>
      <c r="M28" s="14">
        <v>0.84695750543467963</v>
      </c>
      <c r="N28" s="14">
        <f t="shared" si="4"/>
        <v>0.90791900966969907</v>
      </c>
      <c r="O28" s="14">
        <f t="shared" si="5"/>
        <v>8.7276954984172969E-2</v>
      </c>
    </row>
    <row r="29" spans="1:15" x14ac:dyDescent="0.25">
      <c r="A29" s="8" t="s">
        <v>59</v>
      </c>
      <c r="B29" s="11">
        <v>5</v>
      </c>
      <c r="C29" s="8" t="s">
        <v>60</v>
      </c>
      <c r="D29">
        <v>0.97346166924707911</v>
      </c>
      <c r="E29">
        <v>0.86340696932391425</v>
      </c>
      <c r="F29">
        <v>0.82451321221150908</v>
      </c>
      <c r="G29" s="8">
        <f t="shared" si="0"/>
        <v>0.88712728359416759</v>
      </c>
      <c r="H29" s="8">
        <f t="shared" si="1"/>
        <v>7.7255425020699653E-2</v>
      </c>
      <c r="K29" s="14">
        <v>0.97346166924707911</v>
      </c>
      <c r="L29" s="14">
        <v>0.8095457780053108</v>
      </c>
      <c r="M29" s="14">
        <v>0.82451321221150908</v>
      </c>
      <c r="N29" s="14">
        <f t="shared" si="4"/>
        <v>0.86917355315463285</v>
      </c>
      <c r="O29" s="14">
        <f t="shared" si="5"/>
        <v>9.0625682840257016E-2</v>
      </c>
    </row>
    <row r="30" spans="1:15" x14ac:dyDescent="0.25">
      <c r="A30" s="8" t="s">
        <v>59</v>
      </c>
      <c r="B30" s="11">
        <v>10</v>
      </c>
      <c r="C30" s="8" t="s">
        <v>60</v>
      </c>
      <c r="D30">
        <v>0.89195974787747956</v>
      </c>
      <c r="E30">
        <v>0.86794906378105319</v>
      </c>
      <c r="F30">
        <v>0.68947138638545868</v>
      </c>
      <c r="G30" s="8">
        <f t="shared" si="0"/>
        <v>0.81646006601466381</v>
      </c>
      <c r="H30" s="8">
        <f t="shared" si="1"/>
        <v>0.11062875667371122</v>
      </c>
      <c r="K30" s="14">
        <v>0.89195974787747956</v>
      </c>
      <c r="L30" s="14">
        <v>0.65660610336767011</v>
      </c>
      <c r="M30" s="14">
        <v>0.68947138638545868</v>
      </c>
      <c r="N30" s="14">
        <f t="shared" si="4"/>
        <v>0.74601241254353612</v>
      </c>
      <c r="O30" s="14">
        <f t="shared" si="5"/>
        <v>0.12745783704923297</v>
      </c>
    </row>
    <row r="31" spans="1:15" x14ac:dyDescent="0.25">
      <c r="A31" s="8" t="s">
        <v>59</v>
      </c>
      <c r="B31" s="11">
        <v>30</v>
      </c>
      <c r="C31" s="8" t="s">
        <v>60</v>
      </c>
      <c r="D31">
        <v>0.59458055321461412</v>
      </c>
      <c r="E31">
        <v>0.53943914679855354</v>
      </c>
      <c r="F31">
        <v>0.28882805878995987</v>
      </c>
      <c r="G31" s="8">
        <f t="shared" si="0"/>
        <v>0.47428258626770919</v>
      </c>
      <c r="H31" s="8">
        <f t="shared" si="1"/>
        <v>0.16295760183827471</v>
      </c>
      <c r="K31" s="14">
        <v>0.59458055321461412</v>
      </c>
      <c r="L31" s="14">
        <v>0.32548120331185459</v>
      </c>
      <c r="M31" s="14">
        <v>0.28882805878995987</v>
      </c>
      <c r="N31" s="14">
        <f t="shared" si="4"/>
        <v>0.40296327177214292</v>
      </c>
      <c r="O31" s="14">
        <f t="shared" si="5"/>
        <v>0.16695433555732558</v>
      </c>
    </row>
    <row r="32" spans="1:15" x14ac:dyDescent="0.25">
      <c r="A32" s="8" t="s">
        <v>59</v>
      </c>
      <c r="B32" s="11">
        <v>60</v>
      </c>
      <c r="C32" s="8" t="s">
        <v>60</v>
      </c>
      <c r="D32">
        <v>0.27640144129443772</v>
      </c>
      <c r="E32">
        <v>0.4675806823379679</v>
      </c>
      <c r="F32">
        <v>0.11872482899622158</v>
      </c>
      <c r="G32" s="8">
        <f t="shared" si="0"/>
        <v>0.28756898420954241</v>
      </c>
      <c r="H32" s="8">
        <f t="shared" si="1"/>
        <v>0.17469584171859964</v>
      </c>
      <c r="K32" s="14">
        <v>0.27640144129443772</v>
      </c>
      <c r="L32" s="14">
        <v>0.13070582989926108</v>
      </c>
      <c r="M32" s="14">
        <v>0.11872482899622158</v>
      </c>
      <c r="N32" s="14">
        <f t="shared" si="4"/>
        <v>0.17527736672997349</v>
      </c>
      <c r="O32" s="14">
        <f t="shared" si="5"/>
        <v>8.7780663805015424E-2</v>
      </c>
    </row>
    <row r="33" spans="1:15" x14ac:dyDescent="0.25">
      <c r="A33" s="8" t="s">
        <v>59</v>
      </c>
      <c r="B33" s="11">
        <v>120</v>
      </c>
      <c r="C33" s="8" t="s">
        <v>60</v>
      </c>
      <c r="D33">
        <v>8.3198498959793823E-2</v>
      </c>
      <c r="E33">
        <v>0.24102696483158656</v>
      </c>
      <c r="F33">
        <v>4.3865931065139675E-2</v>
      </c>
      <c r="G33" s="8">
        <f t="shared" si="0"/>
        <v>0.12269713161884004</v>
      </c>
      <c r="H33" s="8">
        <f t="shared" si="1"/>
        <v>0.10434665684828719</v>
      </c>
      <c r="K33" s="14">
        <v>8.3198498959793823E-2</v>
      </c>
      <c r="L33" s="14">
        <v>3.7345301496999411E-2</v>
      </c>
      <c r="M33" s="14">
        <v>4.3865931065139675E-2</v>
      </c>
      <c r="N33" s="14">
        <f t="shared" si="4"/>
        <v>5.4803243840644306E-2</v>
      </c>
      <c r="O33" s="14">
        <f t="shared" si="5"/>
        <v>2.4806199576968987E-2</v>
      </c>
    </row>
    <row r="34" spans="1:15" x14ac:dyDescent="0.25">
      <c r="A34" s="8" t="s">
        <v>59</v>
      </c>
      <c r="B34" s="11">
        <v>0</v>
      </c>
      <c r="C34" s="8" t="s">
        <v>61</v>
      </c>
      <c r="D34">
        <v>1</v>
      </c>
      <c r="E34">
        <v>1</v>
      </c>
      <c r="F34">
        <v>1</v>
      </c>
      <c r="G34" s="8">
        <f t="shared" si="0"/>
        <v>1</v>
      </c>
      <c r="H34" s="8">
        <f t="shared" si="1"/>
        <v>0</v>
      </c>
      <c r="K34" s="14">
        <v>1</v>
      </c>
      <c r="L34" s="14">
        <v>1</v>
      </c>
      <c r="M34" s="14">
        <v>1</v>
      </c>
      <c r="N34" s="14">
        <f t="shared" si="4"/>
        <v>1</v>
      </c>
      <c r="O34" s="14">
        <f t="shared" si="5"/>
        <v>0</v>
      </c>
    </row>
    <row r="35" spans="1:15" x14ac:dyDescent="0.25">
      <c r="A35" s="8" t="s">
        <v>59</v>
      </c>
      <c r="B35" s="11">
        <v>1</v>
      </c>
      <c r="C35" s="8" t="s">
        <v>61</v>
      </c>
      <c r="D35">
        <v>0.96085612579179425</v>
      </c>
      <c r="E35">
        <v>0.8689299838459672</v>
      </c>
      <c r="F35">
        <v>0.99159107537538294</v>
      </c>
      <c r="G35" s="8">
        <f t="shared" si="0"/>
        <v>0.94045906167104809</v>
      </c>
      <c r="H35" s="8">
        <f t="shared" si="1"/>
        <v>6.3823710424545974E-2</v>
      </c>
      <c r="K35" s="14">
        <v>0.96085612579179425</v>
      </c>
      <c r="L35" s="14">
        <v>0.99628565829797555</v>
      </c>
      <c r="M35" s="14">
        <v>0.99159107537538294</v>
      </c>
      <c r="N35" s="14">
        <f t="shared" si="4"/>
        <v>0.98291095315505095</v>
      </c>
      <c r="O35" s="14">
        <f t="shared" si="5"/>
        <v>1.9243734947290397E-2</v>
      </c>
    </row>
    <row r="36" spans="1:15" x14ac:dyDescent="0.25">
      <c r="A36" s="8" t="s">
        <v>59</v>
      </c>
      <c r="B36" s="11">
        <v>3</v>
      </c>
      <c r="C36" s="8" t="s">
        <v>61</v>
      </c>
      <c r="D36">
        <v>0.9035109383600417</v>
      </c>
      <c r="E36">
        <v>0.77658839350415898</v>
      </c>
      <c r="F36">
        <v>0.93049147911416907</v>
      </c>
      <c r="G36" s="8">
        <f t="shared" si="0"/>
        <v>0.87019693699278999</v>
      </c>
      <c r="H36" s="8">
        <f t="shared" si="1"/>
        <v>8.2182157159528646E-2</v>
      </c>
      <c r="K36" s="14">
        <v>0.9035109383600417</v>
      </c>
      <c r="L36" s="14">
        <v>0.85563616308136903</v>
      </c>
      <c r="M36" s="14">
        <v>0.93049147911416907</v>
      </c>
      <c r="N36" s="14">
        <f t="shared" si="4"/>
        <v>0.89654619351852671</v>
      </c>
      <c r="O36" s="14">
        <f t="shared" si="5"/>
        <v>3.7910557073500661E-2</v>
      </c>
    </row>
    <row r="37" spans="1:15" x14ac:dyDescent="0.25">
      <c r="A37" s="8" t="s">
        <v>59</v>
      </c>
      <c r="B37" s="11">
        <v>5</v>
      </c>
      <c r="C37" s="8" t="s">
        <v>61</v>
      </c>
      <c r="D37">
        <v>0.85264959354357239</v>
      </c>
      <c r="E37">
        <v>0.86124014291090967</v>
      </c>
      <c r="F37">
        <v>0.93171518407568166</v>
      </c>
      <c r="G37" s="8">
        <f t="shared" si="0"/>
        <v>0.88186830684338791</v>
      </c>
      <c r="H37" s="8">
        <f t="shared" si="1"/>
        <v>4.3381825249367831E-2</v>
      </c>
      <c r="K37" s="14">
        <v>0.85264959354357239</v>
      </c>
      <c r="L37" s="14">
        <v>0.81587367895647933</v>
      </c>
      <c r="M37" s="14">
        <v>0.93171518407568166</v>
      </c>
      <c r="N37" s="14">
        <f t="shared" si="4"/>
        <v>0.8667461521919112</v>
      </c>
      <c r="O37" s="14">
        <f t="shared" si="5"/>
        <v>5.9193312978452942E-2</v>
      </c>
    </row>
    <row r="38" spans="1:15" x14ac:dyDescent="0.25">
      <c r="A38" s="8" t="s">
        <v>59</v>
      </c>
      <c r="B38" s="11">
        <v>10</v>
      </c>
      <c r="C38" s="8" t="s">
        <v>61</v>
      </c>
      <c r="D38">
        <v>0.7552445715692202</v>
      </c>
      <c r="E38">
        <v>0.80269823586865585</v>
      </c>
      <c r="F38">
        <v>0.80535034748944934</v>
      </c>
      <c r="G38" s="8">
        <f t="shared" si="0"/>
        <v>0.78776438497577506</v>
      </c>
      <c r="H38" s="8">
        <f t="shared" si="1"/>
        <v>2.8194185961118813E-2</v>
      </c>
      <c r="K38" s="14">
        <v>0.7552445715692202</v>
      </c>
      <c r="L38" s="14">
        <v>0.65419693863663997</v>
      </c>
      <c r="M38" s="14">
        <v>0.80535034748944934</v>
      </c>
      <c r="N38" s="14">
        <f t="shared" si="4"/>
        <v>0.73826395256510313</v>
      </c>
      <c r="O38" s="14">
        <f t="shared" si="5"/>
        <v>7.6994118725253122E-2</v>
      </c>
    </row>
    <row r="39" spans="1:15" x14ac:dyDescent="0.25">
      <c r="A39" s="8" t="s">
        <v>59</v>
      </c>
      <c r="B39" s="11">
        <v>30</v>
      </c>
      <c r="C39" s="8" t="s">
        <v>61</v>
      </c>
      <c r="D39">
        <v>0.48128450866204781</v>
      </c>
      <c r="E39">
        <v>0.59094635993984646</v>
      </c>
      <c r="F39">
        <v>0.62722338601765515</v>
      </c>
      <c r="G39" s="8">
        <f t="shared" si="0"/>
        <v>0.56648475153984978</v>
      </c>
      <c r="H39" s="8">
        <f t="shared" si="1"/>
        <v>7.5982344627485029E-2</v>
      </c>
      <c r="K39" s="14">
        <v>0.48128450866204781</v>
      </c>
      <c r="L39" s="14">
        <v>0.30099552098333388</v>
      </c>
      <c r="M39" s="14">
        <v>0.62722338601765515</v>
      </c>
      <c r="N39" s="14">
        <f t="shared" si="4"/>
        <v>0.46983447188767896</v>
      </c>
      <c r="O39" s="14">
        <f t="shared" si="5"/>
        <v>0.16341506199801079</v>
      </c>
    </row>
    <row r="40" spans="1:15" x14ac:dyDescent="0.25">
      <c r="A40" s="8" t="s">
        <v>59</v>
      </c>
      <c r="B40" s="11">
        <v>60</v>
      </c>
      <c r="C40" s="8" t="s">
        <v>61</v>
      </c>
      <c r="D40">
        <v>0.26425534202166157</v>
      </c>
      <c r="E40">
        <v>0.45888224013326107</v>
      </c>
      <c r="F40">
        <v>0.38306918116491079</v>
      </c>
      <c r="G40" s="8">
        <f t="shared" si="0"/>
        <v>0.36873558777327781</v>
      </c>
      <c r="H40" s="8">
        <f t="shared" si="1"/>
        <v>9.810196884758858E-2</v>
      </c>
      <c r="K40" s="14">
        <v>0.26425534202166157</v>
      </c>
      <c r="L40" s="14">
        <v>0.10099412557621025</v>
      </c>
      <c r="M40" s="14">
        <v>0.38306918116491079</v>
      </c>
      <c r="N40" s="14">
        <f t="shared" si="4"/>
        <v>0.24943954958759421</v>
      </c>
      <c r="O40" s="14">
        <f t="shared" si="5"/>
        <v>0.14161996690237269</v>
      </c>
    </row>
    <row r="41" spans="1:15" x14ac:dyDescent="0.25">
      <c r="A41" s="8" t="s">
        <v>59</v>
      </c>
      <c r="B41" s="11">
        <v>120</v>
      </c>
      <c r="C41" s="8" t="s">
        <v>61</v>
      </c>
      <c r="D41">
        <v>0.10562609413640983</v>
      </c>
      <c r="E41">
        <v>0.2253197635103463</v>
      </c>
      <c r="F41">
        <v>0.18469378371702616</v>
      </c>
      <c r="G41" s="8">
        <f t="shared" si="0"/>
        <v>0.1718798804545941</v>
      </c>
      <c r="H41" s="8">
        <f t="shared" si="1"/>
        <v>6.0866991955110909E-2</v>
      </c>
      <c r="K41" s="14">
        <v>0.10562609413640983</v>
      </c>
      <c r="L41" s="14">
        <v>5.1902825451654276E-2</v>
      </c>
      <c r="M41" s="14">
        <v>0.18469378371702616</v>
      </c>
      <c r="N41" s="14">
        <f t="shared" si="4"/>
        <v>0.11407423443503011</v>
      </c>
      <c r="O41" s="14">
        <f t="shared" si="5"/>
        <v>6.6797364881691274E-2</v>
      </c>
    </row>
    <row r="42" spans="1:15" x14ac:dyDescent="0.25">
      <c r="A42" s="8" t="s">
        <v>59</v>
      </c>
      <c r="B42" s="11">
        <v>0</v>
      </c>
      <c r="C42" s="8" t="s">
        <v>62</v>
      </c>
      <c r="D42">
        <v>1</v>
      </c>
      <c r="E42">
        <v>1</v>
      </c>
      <c r="F42">
        <v>1</v>
      </c>
      <c r="G42" s="8">
        <f t="shared" si="0"/>
        <v>1</v>
      </c>
      <c r="H42" s="8">
        <f t="shared" si="1"/>
        <v>0</v>
      </c>
      <c r="K42" s="14">
        <v>1</v>
      </c>
      <c r="L42" s="14">
        <v>1</v>
      </c>
      <c r="M42" s="14">
        <v>1</v>
      </c>
      <c r="N42" s="14">
        <f t="shared" si="4"/>
        <v>1</v>
      </c>
      <c r="O42" s="14">
        <f t="shared" si="5"/>
        <v>0</v>
      </c>
    </row>
    <row r="43" spans="1:15" x14ac:dyDescent="0.25">
      <c r="A43" s="8" t="s">
        <v>59</v>
      </c>
      <c r="B43" s="11">
        <v>1</v>
      </c>
      <c r="C43" s="8" t="s">
        <v>62</v>
      </c>
      <c r="D43">
        <v>0.91804892413088324</v>
      </c>
      <c r="E43">
        <v>0.96921458164441765</v>
      </c>
      <c r="F43">
        <v>0.87326641374724145</v>
      </c>
      <c r="G43" s="8">
        <f t="shared" si="0"/>
        <v>0.92017663984084752</v>
      </c>
      <c r="H43" s="8">
        <f t="shared" si="1"/>
        <v>4.8009458560923174E-2</v>
      </c>
      <c r="K43" s="14">
        <v>0.91804892413088324</v>
      </c>
      <c r="L43" s="14">
        <v>1.0246280900225506</v>
      </c>
      <c r="M43" s="14">
        <v>0.87326641374724145</v>
      </c>
      <c r="N43" s="14">
        <f t="shared" si="4"/>
        <v>0.93864780930022507</v>
      </c>
      <c r="O43" s="14">
        <f t="shared" si="5"/>
        <v>7.7754902185538571E-2</v>
      </c>
    </row>
    <row r="44" spans="1:15" x14ac:dyDescent="0.25">
      <c r="A44" s="8" t="s">
        <v>59</v>
      </c>
      <c r="B44" s="11">
        <v>3</v>
      </c>
      <c r="C44" s="8" t="s">
        <v>62</v>
      </c>
      <c r="D44">
        <v>0.89221278344521815</v>
      </c>
      <c r="E44">
        <v>0.82714713390943884</v>
      </c>
      <c r="F44">
        <v>0.85149147967418848</v>
      </c>
      <c r="G44" s="8">
        <f t="shared" si="0"/>
        <v>0.85695046567628186</v>
      </c>
      <c r="H44" s="8">
        <f t="shared" si="1"/>
        <v>3.28745354873115E-2</v>
      </c>
      <c r="K44" s="14">
        <v>0.89221278344521815</v>
      </c>
      <c r="L44" s="14">
        <v>0.92398073957536742</v>
      </c>
      <c r="M44" s="14">
        <v>0.85149147967418848</v>
      </c>
      <c r="N44" s="14">
        <f t="shared" si="4"/>
        <v>0.88922833423159142</v>
      </c>
      <c r="O44" s="14">
        <f t="shared" si="5"/>
        <v>3.6336667473596221E-2</v>
      </c>
    </row>
    <row r="45" spans="1:15" x14ac:dyDescent="0.25">
      <c r="A45" s="8" t="s">
        <v>59</v>
      </c>
      <c r="B45" s="11">
        <v>5</v>
      </c>
      <c r="C45" s="8" t="s">
        <v>62</v>
      </c>
      <c r="D45">
        <v>0.79959944637694969</v>
      </c>
      <c r="E45">
        <v>0.91378101904930531</v>
      </c>
      <c r="F45">
        <v>0.88005273412847096</v>
      </c>
      <c r="G45" s="8">
        <f t="shared" si="0"/>
        <v>0.86447773318490861</v>
      </c>
      <c r="H45" s="8">
        <f t="shared" si="1"/>
        <v>5.8662538090991957E-2</v>
      </c>
      <c r="K45" s="14">
        <v>0.79959944637694969</v>
      </c>
      <c r="L45" s="14">
        <v>0.88236043638549166</v>
      </c>
      <c r="M45" s="14">
        <v>0.88005273412847096</v>
      </c>
      <c r="N45" s="14">
        <f t="shared" si="4"/>
        <v>0.8540042056303041</v>
      </c>
      <c r="O45" s="14">
        <f t="shared" si="5"/>
        <v>4.7130030177036326E-2</v>
      </c>
    </row>
    <row r="46" spans="1:15" x14ac:dyDescent="0.25">
      <c r="A46" s="8" t="s">
        <v>59</v>
      </c>
      <c r="B46" s="11">
        <v>10</v>
      </c>
      <c r="C46" s="8" t="s">
        <v>62</v>
      </c>
      <c r="D46">
        <v>0.79171494621426197</v>
      </c>
      <c r="E46">
        <v>0.85356396083506592</v>
      </c>
      <c r="F46">
        <v>0.72481436277063294</v>
      </c>
      <c r="G46" s="8">
        <f t="shared" si="0"/>
        <v>0.79003108993998694</v>
      </c>
      <c r="H46" s="8">
        <f t="shared" si="1"/>
        <v>6.4391313695269278E-2</v>
      </c>
      <c r="K46" s="14">
        <v>0.79171494621426197</v>
      </c>
      <c r="L46" s="14">
        <v>0.76303591608293808</v>
      </c>
      <c r="M46" s="14">
        <v>0.72481436277063294</v>
      </c>
      <c r="N46" s="14">
        <f t="shared" si="4"/>
        <v>0.75985507502261107</v>
      </c>
      <c r="O46" s="14">
        <f t="shared" si="5"/>
        <v>3.3563526761393681E-2</v>
      </c>
    </row>
    <row r="47" spans="1:15" x14ac:dyDescent="0.25">
      <c r="A47" s="8" t="s">
        <v>59</v>
      </c>
      <c r="B47" s="11">
        <v>30</v>
      </c>
      <c r="C47" s="8" t="s">
        <v>62</v>
      </c>
      <c r="D47">
        <v>0.55845413665019383</v>
      </c>
      <c r="E47">
        <v>0.76014379312757629</v>
      </c>
      <c r="F47">
        <v>0.42294422319551361</v>
      </c>
      <c r="G47" s="8">
        <f t="shared" si="0"/>
        <v>0.58051405099109454</v>
      </c>
      <c r="H47" s="8">
        <f t="shared" si="1"/>
        <v>0.16967871804129711</v>
      </c>
      <c r="K47" s="14">
        <v>0.55845413665019383</v>
      </c>
      <c r="L47" s="14">
        <v>0.30410475034107726</v>
      </c>
      <c r="M47" s="14">
        <v>0.42294422319551361</v>
      </c>
      <c r="N47" s="14">
        <f t="shared" si="4"/>
        <v>0.4285010367289282</v>
      </c>
      <c r="O47" s="14">
        <f t="shared" si="5"/>
        <v>0.12726571105934198</v>
      </c>
    </row>
    <row r="48" spans="1:15" x14ac:dyDescent="0.25">
      <c r="A48" s="8" t="s">
        <v>59</v>
      </c>
      <c r="B48" s="11">
        <v>60</v>
      </c>
      <c r="C48" s="8" t="s">
        <v>62</v>
      </c>
      <c r="D48">
        <v>0.35931247847548936</v>
      </c>
      <c r="E48">
        <v>0.67311674137485111</v>
      </c>
      <c r="F48">
        <v>0.22574026204284073</v>
      </c>
      <c r="G48" s="8">
        <f t="shared" si="0"/>
        <v>0.41938982729772706</v>
      </c>
      <c r="H48" s="8">
        <f t="shared" si="1"/>
        <v>0.22965930080449123</v>
      </c>
      <c r="K48" s="14">
        <v>0.35931247847548936</v>
      </c>
      <c r="L48" s="14">
        <v>0.25773998598239872</v>
      </c>
      <c r="M48" s="14">
        <v>0.22574026204284073</v>
      </c>
      <c r="N48" s="14">
        <f t="shared" si="4"/>
        <v>0.28093090883357624</v>
      </c>
      <c r="O48" s="14">
        <f t="shared" si="5"/>
        <v>6.9740579490706542E-2</v>
      </c>
    </row>
    <row r="49" spans="1:15" x14ac:dyDescent="0.25">
      <c r="A49" s="8" t="s">
        <v>59</v>
      </c>
      <c r="B49" s="11">
        <v>120</v>
      </c>
      <c r="C49" s="8" t="s">
        <v>62</v>
      </c>
      <c r="D49">
        <v>0.14109967319331326</v>
      </c>
      <c r="E49">
        <v>0.5007069438143652</v>
      </c>
      <c r="F49">
        <v>9.7020999393085255E-2</v>
      </c>
      <c r="G49" s="8">
        <f t="shared" si="0"/>
        <v>0.24627587213358793</v>
      </c>
      <c r="H49" s="8">
        <f t="shared" si="1"/>
        <v>0.22144324340216015</v>
      </c>
      <c r="K49" s="14">
        <v>0.14109967319331326</v>
      </c>
      <c r="L49" s="14">
        <v>3.5459027390635209E-2</v>
      </c>
      <c r="M49" s="14">
        <v>9.7020999393085255E-2</v>
      </c>
      <c r="N49" s="14">
        <f t="shared" si="4"/>
        <v>9.11932333256779E-2</v>
      </c>
      <c r="O49" s="14">
        <f t="shared" si="5"/>
        <v>5.3060895718071356E-2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topLeftCell="A7" workbookViewId="0">
      <selection activeCell="E17" sqref="E17"/>
    </sheetView>
  </sheetViews>
  <sheetFormatPr defaultRowHeight="15" x14ac:dyDescent="0.25"/>
  <cols>
    <col min="1" max="1" width="9.140625" style="14"/>
    <col min="2" max="2" width="13.140625" style="14" customWidth="1"/>
    <col min="3" max="3" width="13" style="14" customWidth="1"/>
  </cols>
  <sheetData>
    <row r="1" spans="1:5" x14ac:dyDescent="0.25">
      <c r="A1" s="13" t="s">
        <v>53</v>
      </c>
      <c r="B1" s="16" t="s">
        <v>65</v>
      </c>
      <c r="C1" s="13" t="s">
        <v>54</v>
      </c>
      <c r="D1" t="s">
        <v>63</v>
      </c>
      <c r="E1" t="s">
        <v>64</v>
      </c>
    </row>
    <row r="2" spans="1:5" x14ac:dyDescent="0.25">
      <c r="A2" s="13" t="s">
        <v>58</v>
      </c>
      <c r="B2" s="16">
        <v>0</v>
      </c>
      <c r="C2" s="13" t="s">
        <v>60</v>
      </c>
      <c r="D2">
        <v>1</v>
      </c>
      <c r="E2">
        <v>0</v>
      </c>
    </row>
    <row r="3" spans="1:5" x14ac:dyDescent="0.25">
      <c r="A3" s="14" t="s">
        <v>58</v>
      </c>
      <c r="B3" s="11">
        <v>1</v>
      </c>
      <c r="C3" s="14" t="s">
        <v>60</v>
      </c>
      <c r="D3">
        <v>0.66250365400307798</v>
      </c>
      <c r="E3">
        <v>0.22073020035969207</v>
      </c>
    </row>
    <row r="4" spans="1:5" x14ac:dyDescent="0.25">
      <c r="A4" s="14" t="s">
        <v>58</v>
      </c>
      <c r="B4" s="11">
        <v>3</v>
      </c>
      <c r="C4" s="14" t="s">
        <v>60</v>
      </c>
      <c r="D4">
        <v>0.40133763827394264</v>
      </c>
      <c r="E4">
        <v>0.18640898884639923</v>
      </c>
    </row>
    <row r="5" spans="1:5" x14ac:dyDescent="0.25">
      <c r="A5" s="14" t="s">
        <v>58</v>
      </c>
      <c r="B5" s="11">
        <v>5</v>
      </c>
      <c r="C5" s="14" t="s">
        <v>60</v>
      </c>
      <c r="D5">
        <v>0.26050382433497882</v>
      </c>
      <c r="E5">
        <v>0.16534457297912863</v>
      </c>
    </row>
    <row r="6" spans="1:5" x14ac:dyDescent="0.25">
      <c r="A6" s="14" t="s">
        <v>58</v>
      </c>
      <c r="B6" s="11">
        <v>10</v>
      </c>
      <c r="C6" s="14" t="s">
        <v>60</v>
      </c>
      <c r="D6">
        <v>0.14626803036789993</v>
      </c>
      <c r="E6">
        <v>8.9006373669701003E-2</v>
      </c>
    </row>
    <row r="7" spans="1:5" x14ac:dyDescent="0.25">
      <c r="A7" s="14" t="s">
        <v>58</v>
      </c>
      <c r="B7" s="11">
        <v>30</v>
      </c>
      <c r="C7" s="14" t="s">
        <v>60</v>
      </c>
      <c r="D7">
        <v>7.1833651759992456E-2</v>
      </c>
      <c r="E7">
        <v>2.430197892616124E-2</v>
      </c>
    </row>
    <row r="8" spans="1:5" x14ac:dyDescent="0.25">
      <c r="A8" s="14" t="s">
        <v>58</v>
      </c>
      <c r="B8" s="11">
        <v>60</v>
      </c>
      <c r="C8" s="14" t="s">
        <v>60</v>
      </c>
      <c r="D8">
        <v>5.37792782616896E-2</v>
      </c>
      <c r="E8">
        <v>1.8066496749861521E-2</v>
      </c>
    </row>
    <row r="9" spans="1:5" x14ac:dyDescent="0.25">
      <c r="A9" s="14" t="s">
        <v>58</v>
      </c>
      <c r="B9" s="11">
        <v>120</v>
      </c>
      <c r="C9" s="14" t="s">
        <v>60</v>
      </c>
      <c r="D9">
        <v>5.1342095145271556E-2</v>
      </c>
      <c r="E9">
        <v>1.7933187891551843E-2</v>
      </c>
    </row>
    <row r="10" spans="1:5" x14ac:dyDescent="0.25">
      <c r="A10" s="14" t="s">
        <v>58</v>
      </c>
      <c r="B10" s="11">
        <v>0</v>
      </c>
      <c r="C10" s="14" t="s">
        <v>61</v>
      </c>
      <c r="D10">
        <v>1</v>
      </c>
      <c r="E10">
        <v>0</v>
      </c>
    </row>
    <row r="11" spans="1:5" x14ac:dyDescent="0.25">
      <c r="A11" s="14" t="s">
        <v>58</v>
      </c>
      <c r="B11" s="11">
        <v>1</v>
      </c>
      <c r="C11" s="14" t="s">
        <v>61</v>
      </c>
      <c r="D11">
        <v>0.7835833345806722</v>
      </c>
      <c r="E11">
        <v>5.620220340431703E-2</v>
      </c>
    </row>
    <row r="12" spans="1:5" x14ac:dyDescent="0.25">
      <c r="A12" s="14" t="s">
        <v>58</v>
      </c>
      <c r="B12" s="11">
        <v>3</v>
      </c>
      <c r="C12" s="14" t="s">
        <v>61</v>
      </c>
      <c r="D12">
        <v>0.56677106084704809</v>
      </c>
      <c r="E12">
        <v>0.13199429453761438</v>
      </c>
    </row>
    <row r="13" spans="1:5" x14ac:dyDescent="0.25">
      <c r="A13" s="14" t="s">
        <v>58</v>
      </c>
      <c r="B13" s="11">
        <v>5</v>
      </c>
      <c r="C13" s="14" t="s">
        <v>61</v>
      </c>
      <c r="D13">
        <v>0.36824953692557766</v>
      </c>
      <c r="E13">
        <v>9.1044966682783834E-2</v>
      </c>
    </row>
    <row r="14" spans="1:5" x14ac:dyDescent="0.25">
      <c r="A14" s="14" t="s">
        <v>58</v>
      </c>
      <c r="B14" s="11">
        <v>10</v>
      </c>
      <c r="C14" s="14" t="s">
        <v>61</v>
      </c>
      <c r="D14">
        <v>0.13475636945798003</v>
      </c>
      <c r="E14">
        <v>6.5194772480496974E-2</v>
      </c>
    </row>
    <row r="15" spans="1:5" x14ac:dyDescent="0.25">
      <c r="A15" s="14" t="s">
        <v>58</v>
      </c>
      <c r="B15" s="11">
        <v>30</v>
      </c>
      <c r="C15" s="14" t="s">
        <v>61</v>
      </c>
      <c r="D15">
        <v>4.4467012771710647E-2</v>
      </c>
      <c r="E15">
        <v>4.0799945805407592E-2</v>
      </c>
    </row>
    <row r="16" spans="1:5" x14ac:dyDescent="0.25">
      <c r="A16" s="14" t="s">
        <v>58</v>
      </c>
      <c r="B16" s="11">
        <v>60</v>
      </c>
      <c r="C16" s="14" t="s">
        <v>61</v>
      </c>
      <c r="D16">
        <v>3.5072314046415178E-2</v>
      </c>
      <c r="E16">
        <v>1.2358390573184178E-2</v>
      </c>
    </row>
    <row r="17" spans="1:5" x14ac:dyDescent="0.25">
      <c r="A17" s="14" t="s">
        <v>58</v>
      </c>
      <c r="B17" s="11">
        <v>120</v>
      </c>
      <c r="C17" s="14" t="s">
        <v>61</v>
      </c>
      <c r="D17">
        <v>1.6619642914905693E-2</v>
      </c>
      <c r="E17">
        <v>1.3754380865602532E-2</v>
      </c>
    </row>
    <row r="18" spans="1:5" x14ac:dyDescent="0.25">
      <c r="A18" s="14" t="s">
        <v>58</v>
      </c>
      <c r="B18" s="11">
        <v>0</v>
      </c>
      <c r="C18" s="14" t="s">
        <v>62</v>
      </c>
      <c r="D18">
        <v>0.99999999981343912</v>
      </c>
      <c r="E18">
        <v>3.2313279095597664E-10</v>
      </c>
    </row>
    <row r="19" spans="1:5" x14ac:dyDescent="0.25">
      <c r="A19" s="14" t="s">
        <v>58</v>
      </c>
      <c r="B19" s="11">
        <v>1</v>
      </c>
      <c r="C19" s="14" t="s">
        <v>62</v>
      </c>
      <c r="D19">
        <v>0.89539909435661436</v>
      </c>
      <c r="E19">
        <v>4.0820299152342476E-2</v>
      </c>
    </row>
    <row r="20" spans="1:5" x14ac:dyDescent="0.25">
      <c r="A20" s="14" t="s">
        <v>58</v>
      </c>
      <c r="B20" s="11">
        <v>3</v>
      </c>
      <c r="C20" s="14" t="s">
        <v>62</v>
      </c>
      <c r="D20">
        <v>0.77995011052795904</v>
      </c>
      <c r="E20">
        <v>0.18595342615143229</v>
      </c>
    </row>
    <row r="21" spans="1:5" x14ac:dyDescent="0.25">
      <c r="A21" s="14" t="s">
        <v>58</v>
      </c>
      <c r="B21" s="11">
        <v>5</v>
      </c>
      <c r="C21" s="14" t="s">
        <v>62</v>
      </c>
      <c r="D21">
        <v>0.67443435642809446</v>
      </c>
      <c r="E21">
        <v>0.18353587343797068</v>
      </c>
    </row>
    <row r="22" spans="1:5" x14ac:dyDescent="0.25">
      <c r="A22" s="14" t="s">
        <v>58</v>
      </c>
      <c r="B22" s="11">
        <v>10</v>
      </c>
      <c r="C22" s="14" t="s">
        <v>62</v>
      </c>
      <c r="D22">
        <v>0.52602420723760934</v>
      </c>
      <c r="E22">
        <v>0.17494859165105625</v>
      </c>
    </row>
    <row r="23" spans="1:5" x14ac:dyDescent="0.25">
      <c r="A23" s="14" t="s">
        <v>58</v>
      </c>
      <c r="B23" s="11">
        <v>30</v>
      </c>
      <c r="C23" s="14" t="s">
        <v>62</v>
      </c>
      <c r="D23">
        <v>0.2495856374148766</v>
      </c>
      <c r="E23">
        <v>0.10549432602499308</v>
      </c>
    </row>
    <row r="24" spans="1:5" x14ac:dyDescent="0.25">
      <c r="A24" s="14" t="s">
        <v>58</v>
      </c>
      <c r="B24" s="11">
        <v>60</v>
      </c>
      <c r="C24" s="14" t="s">
        <v>62</v>
      </c>
      <c r="D24">
        <v>0.16643397917892744</v>
      </c>
      <c r="E24">
        <v>5.9996409022169919E-2</v>
      </c>
    </row>
    <row r="25" spans="1:5" x14ac:dyDescent="0.25">
      <c r="A25" s="14" t="s">
        <v>58</v>
      </c>
      <c r="B25" s="11">
        <v>120</v>
      </c>
      <c r="C25" s="14" t="s">
        <v>62</v>
      </c>
      <c r="D25">
        <v>0.14548182530462342</v>
      </c>
      <c r="E25">
        <v>6.0825035767647556E-2</v>
      </c>
    </row>
    <row r="26" spans="1:5" x14ac:dyDescent="0.25">
      <c r="A26" s="14" t="s">
        <v>59</v>
      </c>
      <c r="B26" s="11">
        <v>0</v>
      </c>
      <c r="C26" s="14" t="s">
        <v>60</v>
      </c>
      <c r="D26">
        <v>1</v>
      </c>
      <c r="E26">
        <v>0</v>
      </c>
    </row>
    <row r="27" spans="1:5" x14ac:dyDescent="0.25">
      <c r="A27" s="14" t="s">
        <v>59</v>
      </c>
      <c r="B27" s="11">
        <v>1</v>
      </c>
      <c r="C27" s="14" t="s">
        <v>60</v>
      </c>
      <c r="D27">
        <v>0.98694373593620399</v>
      </c>
      <c r="E27">
        <v>0.15608643044628531</v>
      </c>
    </row>
    <row r="28" spans="1:5" x14ac:dyDescent="0.25">
      <c r="A28" s="14" t="s">
        <v>59</v>
      </c>
      <c r="B28" s="11">
        <v>3</v>
      </c>
      <c r="C28" s="14" t="s">
        <v>60</v>
      </c>
      <c r="D28">
        <v>0.90791900966969907</v>
      </c>
      <c r="E28">
        <v>8.7276954984172969E-2</v>
      </c>
    </row>
    <row r="29" spans="1:5" x14ac:dyDescent="0.25">
      <c r="A29" s="14" t="s">
        <v>59</v>
      </c>
      <c r="B29" s="11">
        <v>5</v>
      </c>
      <c r="C29" s="14" t="s">
        <v>60</v>
      </c>
      <c r="D29">
        <v>0.86917355315463285</v>
      </c>
      <c r="E29">
        <v>9.0625682840257016E-2</v>
      </c>
    </row>
    <row r="30" spans="1:5" x14ac:dyDescent="0.25">
      <c r="A30" s="14" t="s">
        <v>59</v>
      </c>
      <c r="B30" s="11">
        <v>10</v>
      </c>
      <c r="C30" s="14" t="s">
        <v>60</v>
      </c>
      <c r="D30">
        <v>0.74601241254353612</v>
      </c>
      <c r="E30">
        <v>0.12745783704923297</v>
      </c>
    </row>
    <row r="31" spans="1:5" x14ac:dyDescent="0.25">
      <c r="A31" s="14" t="s">
        <v>59</v>
      </c>
      <c r="B31" s="11">
        <v>30</v>
      </c>
      <c r="C31" s="14" t="s">
        <v>60</v>
      </c>
      <c r="D31">
        <v>0.40296327177214292</v>
      </c>
      <c r="E31">
        <v>0.16695433555732558</v>
      </c>
    </row>
    <row r="32" spans="1:5" x14ac:dyDescent="0.25">
      <c r="A32" s="14" t="s">
        <v>59</v>
      </c>
      <c r="B32" s="11">
        <v>60</v>
      </c>
      <c r="C32" s="14" t="s">
        <v>60</v>
      </c>
      <c r="D32">
        <v>0.17527736672997349</v>
      </c>
      <c r="E32">
        <v>8.7780663805015424E-2</v>
      </c>
    </row>
    <row r="33" spans="1:5" x14ac:dyDescent="0.25">
      <c r="A33" s="14" t="s">
        <v>59</v>
      </c>
      <c r="B33" s="11">
        <v>120</v>
      </c>
      <c r="C33" s="14" t="s">
        <v>60</v>
      </c>
      <c r="D33">
        <v>5.4803243840644306E-2</v>
      </c>
      <c r="E33">
        <v>2.4806199576968987E-2</v>
      </c>
    </row>
    <row r="34" spans="1:5" x14ac:dyDescent="0.25">
      <c r="A34" s="14" t="s">
        <v>59</v>
      </c>
      <c r="B34" s="11">
        <v>0</v>
      </c>
      <c r="C34" s="14" t="s">
        <v>61</v>
      </c>
      <c r="D34">
        <v>1</v>
      </c>
      <c r="E34">
        <v>0</v>
      </c>
    </row>
    <row r="35" spans="1:5" x14ac:dyDescent="0.25">
      <c r="A35" s="14" t="s">
        <v>59</v>
      </c>
      <c r="B35" s="11">
        <v>1</v>
      </c>
      <c r="C35" s="14" t="s">
        <v>61</v>
      </c>
      <c r="D35">
        <v>0.98291095315505095</v>
      </c>
      <c r="E35">
        <v>1.9243734947290397E-2</v>
      </c>
    </row>
    <row r="36" spans="1:5" x14ac:dyDescent="0.25">
      <c r="A36" s="14" t="s">
        <v>59</v>
      </c>
      <c r="B36" s="11">
        <v>3</v>
      </c>
      <c r="C36" s="14" t="s">
        <v>61</v>
      </c>
      <c r="D36">
        <v>0.89654619351852671</v>
      </c>
      <c r="E36">
        <v>3.7910557073500661E-2</v>
      </c>
    </row>
    <row r="37" spans="1:5" x14ac:dyDescent="0.25">
      <c r="A37" s="14" t="s">
        <v>59</v>
      </c>
      <c r="B37" s="11">
        <v>5</v>
      </c>
      <c r="C37" s="14" t="s">
        <v>61</v>
      </c>
      <c r="D37">
        <v>0.8667461521919112</v>
      </c>
      <c r="E37">
        <v>5.9193312978452942E-2</v>
      </c>
    </row>
    <row r="38" spans="1:5" x14ac:dyDescent="0.25">
      <c r="A38" s="14" t="s">
        <v>59</v>
      </c>
      <c r="B38" s="11">
        <v>10</v>
      </c>
      <c r="C38" s="14" t="s">
        <v>61</v>
      </c>
      <c r="D38">
        <v>0.73826395256510313</v>
      </c>
      <c r="E38">
        <v>7.6994118725253122E-2</v>
      </c>
    </row>
    <row r="39" spans="1:5" x14ac:dyDescent="0.25">
      <c r="A39" s="14" t="s">
        <v>59</v>
      </c>
      <c r="B39" s="11">
        <v>30</v>
      </c>
      <c r="C39" s="14" t="s">
        <v>61</v>
      </c>
      <c r="D39">
        <v>0.46983447188767896</v>
      </c>
      <c r="E39">
        <v>0.16341506199801079</v>
      </c>
    </row>
    <row r="40" spans="1:5" x14ac:dyDescent="0.25">
      <c r="A40" s="14" t="s">
        <v>59</v>
      </c>
      <c r="B40" s="11">
        <v>60</v>
      </c>
      <c r="C40" s="14" t="s">
        <v>61</v>
      </c>
      <c r="D40">
        <v>0.24943954958759421</v>
      </c>
      <c r="E40">
        <v>0.14161996690237269</v>
      </c>
    </row>
    <row r="41" spans="1:5" x14ac:dyDescent="0.25">
      <c r="A41" s="14" t="s">
        <v>59</v>
      </c>
      <c r="B41" s="11">
        <v>120</v>
      </c>
      <c r="C41" s="14" t="s">
        <v>61</v>
      </c>
      <c r="D41">
        <v>0.11407423443503011</v>
      </c>
      <c r="E41">
        <v>6.6797364881691274E-2</v>
      </c>
    </row>
    <row r="42" spans="1:5" x14ac:dyDescent="0.25">
      <c r="A42" s="14" t="s">
        <v>59</v>
      </c>
      <c r="B42" s="11">
        <v>0</v>
      </c>
      <c r="C42" s="14" t="s">
        <v>62</v>
      </c>
      <c r="D42">
        <v>1</v>
      </c>
      <c r="E42">
        <v>0</v>
      </c>
    </row>
    <row r="43" spans="1:5" x14ac:dyDescent="0.25">
      <c r="A43" s="14" t="s">
        <v>59</v>
      </c>
      <c r="B43" s="11">
        <v>1</v>
      </c>
      <c r="C43" s="14" t="s">
        <v>62</v>
      </c>
      <c r="D43">
        <v>0.93864780930022507</v>
      </c>
      <c r="E43">
        <v>7.7754902185538571E-2</v>
      </c>
    </row>
    <row r="44" spans="1:5" x14ac:dyDescent="0.25">
      <c r="A44" s="14" t="s">
        <v>59</v>
      </c>
      <c r="B44" s="11">
        <v>3</v>
      </c>
      <c r="C44" s="14" t="s">
        <v>62</v>
      </c>
      <c r="D44">
        <v>0.88922833423159142</v>
      </c>
      <c r="E44">
        <v>3.6336667473596221E-2</v>
      </c>
    </row>
    <row r="45" spans="1:5" x14ac:dyDescent="0.25">
      <c r="A45" s="14" t="s">
        <v>59</v>
      </c>
      <c r="B45" s="11">
        <v>5</v>
      </c>
      <c r="C45" s="14" t="s">
        <v>62</v>
      </c>
      <c r="D45">
        <v>0.8540042056303041</v>
      </c>
      <c r="E45">
        <v>4.7130030177036326E-2</v>
      </c>
    </row>
    <row r="46" spans="1:5" x14ac:dyDescent="0.25">
      <c r="A46" s="14" t="s">
        <v>59</v>
      </c>
      <c r="B46" s="11">
        <v>10</v>
      </c>
      <c r="C46" s="14" t="s">
        <v>62</v>
      </c>
      <c r="D46">
        <v>0.75985507502261107</v>
      </c>
      <c r="E46">
        <v>3.3563526761393681E-2</v>
      </c>
    </row>
    <row r="47" spans="1:5" x14ac:dyDescent="0.25">
      <c r="A47" s="14" t="s">
        <v>59</v>
      </c>
      <c r="B47" s="11">
        <v>30</v>
      </c>
      <c r="C47" s="14" t="s">
        <v>62</v>
      </c>
      <c r="D47">
        <v>0.4285010367289282</v>
      </c>
      <c r="E47">
        <v>0.12726571105934198</v>
      </c>
    </row>
    <row r="48" spans="1:5" x14ac:dyDescent="0.25">
      <c r="A48" s="14" t="s">
        <v>59</v>
      </c>
      <c r="B48" s="11">
        <v>60</v>
      </c>
      <c r="C48" s="14" t="s">
        <v>62</v>
      </c>
      <c r="D48">
        <v>0.28093090883357624</v>
      </c>
      <c r="E48">
        <v>6.9740579490706542E-2</v>
      </c>
    </row>
    <row r="49" spans="1:5" x14ac:dyDescent="0.25">
      <c r="A49" s="14" t="s">
        <v>59</v>
      </c>
      <c r="B49" s="11">
        <v>120</v>
      </c>
      <c r="C49" s="14" t="s">
        <v>62</v>
      </c>
      <c r="D49">
        <v>9.11932333256779E-2</v>
      </c>
      <c r="E49">
        <v>5.3060895718071356E-2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B1" sqref="B1:B49"/>
    </sheetView>
  </sheetViews>
  <sheetFormatPr defaultRowHeight="15" x14ac:dyDescent="0.25"/>
  <cols>
    <col min="1" max="2" width="9.140625" style="11"/>
    <col min="3" max="3" width="13.42578125" style="11" customWidth="1"/>
    <col min="4" max="4" width="14.28515625" style="11" customWidth="1"/>
    <col min="5" max="5" width="14.7109375" style="11" customWidth="1"/>
  </cols>
  <sheetData>
    <row r="1" spans="1:5" x14ac:dyDescent="0.25">
      <c r="A1" s="11" t="s">
        <v>53</v>
      </c>
      <c r="B1" s="11" t="s">
        <v>65</v>
      </c>
      <c r="C1" s="11" t="s">
        <v>54</v>
      </c>
      <c r="D1" s="11" t="s">
        <v>63</v>
      </c>
      <c r="E1" s="11" t="s">
        <v>64</v>
      </c>
    </row>
    <row r="2" spans="1:5" x14ac:dyDescent="0.25">
      <c r="A2" s="11" t="s">
        <v>58</v>
      </c>
      <c r="B2" s="11">
        <v>0</v>
      </c>
      <c r="C2" s="11" t="s">
        <v>60</v>
      </c>
      <c r="D2" s="11">
        <v>1</v>
      </c>
      <c r="E2" s="11">
        <v>0</v>
      </c>
    </row>
    <row r="3" spans="1:5" x14ac:dyDescent="0.25">
      <c r="A3" s="11" t="s">
        <v>58</v>
      </c>
      <c r="B3" s="11">
        <v>1</v>
      </c>
      <c r="C3" s="11" t="s">
        <v>60</v>
      </c>
      <c r="D3" s="11">
        <v>0.75887721594529667</v>
      </c>
      <c r="E3" s="11">
        <v>0.26234894779857743</v>
      </c>
    </row>
    <row r="4" spans="1:5" x14ac:dyDescent="0.25">
      <c r="A4" s="11" t="s">
        <v>58</v>
      </c>
      <c r="B4" s="11">
        <v>3</v>
      </c>
      <c r="C4" s="11" t="s">
        <v>60</v>
      </c>
      <c r="D4" s="11">
        <v>0.51917152032265024</v>
      </c>
      <c r="E4" s="11">
        <v>0.24095076864184337</v>
      </c>
    </row>
    <row r="5" spans="1:5" x14ac:dyDescent="0.25">
      <c r="A5" s="11" t="s">
        <v>58</v>
      </c>
      <c r="B5" s="11">
        <v>5</v>
      </c>
      <c r="C5" s="11" t="s">
        <v>60</v>
      </c>
      <c r="D5" s="11">
        <v>0.41097417638782691</v>
      </c>
      <c r="E5" s="11">
        <v>0.29278959561490264</v>
      </c>
    </row>
    <row r="6" spans="1:5" x14ac:dyDescent="0.25">
      <c r="A6" s="11" t="s">
        <v>58</v>
      </c>
      <c r="B6" s="11">
        <v>10</v>
      </c>
      <c r="C6" s="11" t="s">
        <v>60</v>
      </c>
      <c r="D6" s="11">
        <v>0.26975258190363188</v>
      </c>
      <c r="E6" s="11">
        <v>0.21454665629618766</v>
      </c>
    </row>
    <row r="7" spans="1:5" x14ac:dyDescent="0.25">
      <c r="A7" s="11" t="s">
        <v>58</v>
      </c>
      <c r="B7" s="11">
        <v>30</v>
      </c>
      <c r="C7" s="11" t="s">
        <v>60</v>
      </c>
      <c r="D7" s="11">
        <v>0.10819286447496605</v>
      </c>
      <c r="E7" s="11">
        <v>7.7977765240326069E-2</v>
      </c>
    </row>
    <row r="8" spans="1:5" x14ac:dyDescent="0.25">
      <c r="A8" s="11" t="s">
        <v>58</v>
      </c>
      <c r="B8" s="11">
        <v>60</v>
      </c>
      <c r="C8" s="11" t="s">
        <v>60</v>
      </c>
      <c r="D8" s="11">
        <v>0.19613371003000382</v>
      </c>
      <c r="E8" s="11">
        <v>0.17144351230578775</v>
      </c>
    </row>
    <row r="9" spans="1:5" x14ac:dyDescent="0.25">
      <c r="A9" s="11" t="s">
        <v>58</v>
      </c>
      <c r="B9" s="11">
        <v>120</v>
      </c>
      <c r="C9" s="11" t="s">
        <v>60</v>
      </c>
      <c r="D9" s="11">
        <v>7.3976631160322756E-2</v>
      </c>
      <c r="E9" s="11">
        <v>3.8405518071270815E-2</v>
      </c>
    </row>
    <row r="10" spans="1:5" x14ac:dyDescent="0.25">
      <c r="A10" s="11" t="s">
        <v>58</v>
      </c>
      <c r="B10" s="11">
        <v>0</v>
      </c>
      <c r="C10" s="11" t="s">
        <v>61</v>
      </c>
      <c r="D10" s="11">
        <v>1</v>
      </c>
      <c r="E10" s="11">
        <v>0</v>
      </c>
    </row>
    <row r="11" spans="1:5" x14ac:dyDescent="0.25">
      <c r="A11" s="11" t="s">
        <v>58</v>
      </c>
      <c r="B11" s="11">
        <v>1</v>
      </c>
      <c r="C11" s="11" t="s">
        <v>61</v>
      </c>
      <c r="D11" s="11">
        <v>0.86766975977829197</v>
      </c>
      <c r="E11" s="11">
        <v>9.7503240389747975E-2</v>
      </c>
    </row>
    <row r="12" spans="1:5" x14ac:dyDescent="0.25">
      <c r="A12" s="11" t="s">
        <v>58</v>
      </c>
      <c r="B12" s="11">
        <v>3</v>
      </c>
      <c r="C12" s="11" t="s">
        <v>61</v>
      </c>
      <c r="D12" s="11">
        <v>0.68762709806255906</v>
      </c>
      <c r="E12" s="11">
        <v>8.2632350260233328E-2</v>
      </c>
    </row>
    <row r="13" spans="1:5" x14ac:dyDescent="0.25">
      <c r="A13" s="11" t="s">
        <v>58</v>
      </c>
      <c r="B13" s="11">
        <v>5</v>
      </c>
      <c r="C13" s="11" t="s">
        <v>61</v>
      </c>
      <c r="D13" s="11">
        <v>0.5290062070129552</v>
      </c>
      <c r="E13" s="11">
        <v>0.2052346779332177</v>
      </c>
    </row>
    <row r="14" spans="1:5" x14ac:dyDescent="0.25">
      <c r="A14" s="11" t="s">
        <v>58</v>
      </c>
      <c r="B14" s="11">
        <v>10</v>
      </c>
      <c r="C14" s="11" t="s">
        <v>61</v>
      </c>
      <c r="D14" s="11">
        <v>0.30567149224261486</v>
      </c>
      <c r="E14" s="11">
        <v>0.27527314575981554</v>
      </c>
    </row>
    <row r="15" spans="1:5" x14ac:dyDescent="0.25">
      <c r="A15" s="11" t="s">
        <v>58</v>
      </c>
      <c r="B15" s="11">
        <v>30</v>
      </c>
      <c r="C15" s="11" t="s">
        <v>61</v>
      </c>
      <c r="D15" s="11">
        <v>0.15947697130257224</v>
      </c>
      <c r="E15" s="11">
        <v>0.19044887282193904</v>
      </c>
    </row>
    <row r="16" spans="1:5" x14ac:dyDescent="0.25">
      <c r="A16" s="11" t="s">
        <v>58</v>
      </c>
      <c r="B16" s="11">
        <v>60</v>
      </c>
      <c r="C16" s="11" t="s">
        <v>61</v>
      </c>
      <c r="D16" s="11">
        <v>0.12855829739948352</v>
      </c>
      <c r="E16" s="11">
        <v>0.15206788062038545</v>
      </c>
    </row>
    <row r="17" spans="1:5" x14ac:dyDescent="0.25">
      <c r="A17" s="11" t="s">
        <v>58</v>
      </c>
      <c r="B17" s="11">
        <v>120</v>
      </c>
      <c r="C17" s="11" t="s">
        <v>61</v>
      </c>
      <c r="D17" s="11">
        <v>0.1179903703273557</v>
      </c>
      <c r="E17" s="11">
        <v>0.17242093258465516</v>
      </c>
    </row>
    <row r="18" spans="1:5" x14ac:dyDescent="0.25">
      <c r="A18" s="11" t="s">
        <v>58</v>
      </c>
      <c r="B18" s="11">
        <v>0</v>
      </c>
      <c r="C18" s="11" t="s">
        <v>62</v>
      </c>
      <c r="D18" s="11">
        <v>0.99999999981343912</v>
      </c>
      <c r="E18" s="11">
        <v>3.2313279095597664E-10</v>
      </c>
    </row>
    <row r="19" spans="1:5" x14ac:dyDescent="0.25">
      <c r="A19" s="11" t="s">
        <v>58</v>
      </c>
      <c r="B19" s="11">
        <v>1</v>
      </c>
      <c r="C19" s="11" t="s">
        <v>62</v>
      </c>
      <c r="D19" s="11">
        <v>0.91798823720091283</v>
      </c>
      <c r="E19" s="11">
        <v>2.1262955124093905E-2</v>
      </c>
    </row>
    <row r="20" spans="1:5" x14ac:dyDescent="0.25">
      <c r="A20" s="11" t="s">
        <v>58</v>
      </c>
      <c r="B20" s="11">
        <v>3</v>
      </c>
      <c r="C20" s="11" t="s">
        <v>62</v>
      </c>
      <c r="D20" s="11">
        <v>0.82885200280485105</v>
      </c>
      <c r="E20" s="11">
        <v>0.13855789057087847</v>
      </c>
    </row>
    <row r="21" spans="1:5" x14ac:dyDescent="0.25">
      <c r="A21" s="11" t="s">
        <v>58</v>
      </c>
      <c r="B21" s="11">
        <v>5</v>
      </c>
      <c r="C21" s="11" t="s">
        <v>62</v>
      </c>
      <c r="D21" s="11">
        <v>0.75384702242198243</v>
      </c>
      <c r="E21" s="11">
        <v>9.7697511581040716E-2</v>
      </c>
    </row>
    <row r="22" spans="1:5" x14ac:dyDescent="0.25">
      <c r="A22" s="11" t="s">
        <v>58</v>
      </c>
      <c r="B22" s="11">
        <v>10</v>
      </c>
      <c r="C22" s="11" t="s">
        <v>62</v>
      </c>
      <c r="D22" s="11">
        <v>0.64470349615715539</v>
      </c>
      <c r="E22" s="11">
        <v>0.1081339485895523</v>
      </c>
    </row>
    <row r="23" spans="1:5" x14ac:dyDescent="0.25">
      <c r="A23" s="11" t="s">
        <v>58</v>
      </c>
      <c r="B23" s="11">
        <v>30</v>
      </c>
      <c r="C23" s="11" t="s">
        <v>62</v>
      </c>
      <c r="D23" s="11">
        <v>0.41065147784813805</v>
      </c>
      <c r="E23" s="11">
        <v>0.19577156000046897</v>
      </c>
    </row>
    <row r="24" spans="1:5" x14ac:dyDescent="0.25">
      <c r="A24" s="11" t="s">
        <v>58</v>
      </c>
      <c r="B24" s="11">
        <v>60</v>
      </c>
      <c r="C24" s="11" t="s">
        <v>62</v>
      </c>
      <c r="D24" s="11">
        <v>0.32913185266338446</v>
      </c>
      <c r="E24" s="11">
        <v>0.22494087765432169</v>
      </c>
    </row>
    <row r="25" spans="1:5" x14ac:dyDescent="0.25">
      <c r="A25" s="11" t="s">
        <v>58</v>
      </c>
      <c r="B25" s="11">
        <v>120</v>
      </c>
      <c r="C25" s="11" t="s">
        <v>62</v>
      </c>
      <c r="D25" s="11">
        <v>0.25319347558702204</v>
      </c>
      <c r="E25" s="11">
        <v>0.12759934941755025</v>
      </c>
    </row>
    <row r="26" spans="1:5" x14ac:dyDescent="0.25">
      <c r="A26" s="11" t="s">
        <v>59</v>
      </c>
      <c r="B26" s="11">
        <v>0</v>
      </c>
      <c r="C26" s="11" t="s">
        <v>60</v>
      </c>
      <c r="D26" s="11">
        <v>1</v>
      </c>
      <c r="E26" s="11">
        <v>0</v>
      </c>
    </row>
    <row r="27" spans="1:5" x14ac:dyDescent="0.25">
      <c r="A27" s="11" t="s">
        <v>59</v>
      </c>
      <c r="B27" s="11">
        <v>1</v>
      </c>
      <c r="C27" s="11" t="s">
        <v>60</v>
      </c>
      <c r="D27" s="11">
        <v>0.97007694567434333</v>
      </c>
      <c r="E27" s="11">
        <v>0.18299003676494571</v>
      </c>
    </row>
    <row r="28" spans="1:5" x14ac:dyDescent="0.25">
      <c r="A28" s="11" t="s">
        <v>59</v>
      </c>
      <c r="B28" s="11">
        <v>3</v>
      </c>
      <c r="C28" s="11" t="s">
        <v>60</v>
      </c>
      <c r="D28" s="11">
        <v>0.88906011664811724</v>
      </c>
      <c r="E28" s="11">
        <v>0.10436346886411364</v>
      </c>
    </row>
    <row r="29" spans="1:5" x14ac:dyDescent="0.25">
      <c r="A29" s="11" t="s">
        <v>59</v>
      </c>
      <c r="B29" s="11">
        <v>5</v>
      </c>
      <c r="C29" s="11" t="s">
        <v>60</v>
      </c>
      <c r="D29" s="11">
        <v>0.88712728359416759</v>
      </c>
      <c r="E29" s="11">
        <v>7.7255425020699653E-2</v>
      </c>
    </row>
    <row r="30" spans="1:5" x14ac:dyDescent="0.25">
      <c r="A30" s="11" t="s">
        <v>59</v>
      </c>
      <c r="B30" s="11">
        <v>10</v>
      </c>
      <c r="C30" s="11" t="s">
        <v>60</v>
      </c>
      <c r="D30" s="11">
        <v>0.81646006601466381</v>
      </c>
      <c r="E30" s="11">
        <v>0.11062875667371122</v>
      </c>
    </row>
    <row r="31" spans="1:5" x14ac:dyDescent="0.25">
      <c r="A31" s="11" t="s">
        <v>59</v>
      </c>
      <c r="B31" s="11">
        <v>30</v>
      </c>
      <c r="C31" s="11" t="s">
        <v>60</v>
      </c>
      <c r="D31" s="11">
        <v>0.47428258626770919</v>
      </c>
      <c r="E31" s="11">
        <v>0.16295760183827471</v>
      </c>
    </row>
    <row r="32" spans="1:5" x14ac:dyDescent="0.25">
      <c r="A32" s="11" t="s">
        <v>59</v>
      </c>
      <c r="B32" s="11">
        <v>60</v>
      </c>
      <c r="C32" s="11" t="s">
        <v>60</v>
      </c>
      <c r="D32" s="11">
        <v>0.28756898420954241</v>
      </c>
      <c r="E32" s="11">
        <v>0.17469584171859964</v>
      </c>
    </row>
    <row r="33" spans="1:5" x14ac:dyDescent="0.25">
      <c r="A33" s="11" t="s">
        <v>59</v>
      </c>
      <c r="B33" s="11">
        <v>120</v>
      </c>
      <c r="C33" s="11" t="s">
        <v>60</v>
      </c>
      <c r="D33" s="11">
        <v>0.12269713161884004</v>
      </c>
      <c r="E33" s="11">
        <v>0.10434665684828719</v>
      </c>
    </row>
    <row r="34" spans="1:5" x14ac:dyDescent="0.25">
      <c r="A34" s="11" t="s">
        <v>59</v>
      </c>
      <c r="B34" s="11">
        <v>0</v>
      </c>
      <c r="C34" s="11" t="s">
        <v>61</v>
      </c>
      <c r="D34" s="11">
        <v>1</v>
      </c>
      <c r="E34" s="11">
        <v>0</v>
      </c>
    </row>
    <row r="35" spans="1:5" x14ac:dyDescent="0.25">
      <c r="A35" s="11" t="s">
        <v>59</v>
      </c>
      <c r="B35" s="11">
        <v>1</v>
      </c>
      <c r="C35" s="11" t="s">
        <v>61</v>
      </c>
      <c r="D35" s="11">
        <v>0.94045906167104809</v>
      </c>
      <c r="E35" s="11">
        <v>6.3823710424545974E-2</v>
      </c>
    </row>
    <row r="36" spans="1:5" x14ac:dyDescent="0.25">
      <c r="A36" s="11" t="s">
        <v>59</v>
      </c>
      <c r="B36" s="11">
        <v>3</v>
      </c>
      <c r="C36" s="11" t="s">
        <v>61</v>
      </c>
      <c r="D36" s="11">
        <v>0.87019693699278999</v>
      </c>
      <c r="E36" s="11">
        <v>8.2182157159528646E-2</v>
      </c>
    </row>
    <row r="37" spans="1:5" x14ac:dyDescent="0.25">
      <c r="A37" s="11" t="s">
        <v>59</v>
      </c>
      <c r="B37" s="11">
        <v>5</v>
      </c>
      <c r="C37" s="11" t="s">
        <v>61</v>
      </c>
      <c r="D37" s="11">
        <v>0.88186830684338791</v>
      </c>
      <c r="E37" s="11">
        <v>4.3381825249367831E-2</v>
      </c>
    </row>
    <row r="38" spans="1:5" x14ac:dyDescent="0.25">
      <c r="A38" s="11" t="s">
        <v>59</v>
      </c>
      <c r="B38" s="11">
        <v>10</v>
      </c>
      <c r="C38" s="11" t="s">
        <v>61</v>
      </c>
      <c r="D38" s="11">
        <v>0.78776438497577506</v>
      </c>
      <c r="E38" s="11">
        <v>2.8194185961118813E-2</v>
      </c>
    </row>
    <row r="39" spans="1:5" x14ac:dyDescent="0.25">
      <c r="A39" s="11" t="s">
        <v>59</v>
      </c>
      <c r="B39" s="11">
        <v>30</v>
      </c>
      <c r="C39" s="11" t="s">
        <v>61</v>
      </c>
      <c r="D39" s="11">
        <v>0.56648475153984978</v>
      </c>
      <c r="E39" s="11">
        <v>7.5982344627485029E-2</v>
      </c>
    </row>
    <row r="40" spans="1:5" x14ac:dyDescent="0.25">
      <c r="A40" s="11" t="s">
        <v>59</v>
      </c>
      <c r="B40" s="11">
        <v>60</v>
      </c>
      <c r="C40" s="11" t="s">
        <v>61</v>
      </c>
      <c r="D40" s="11">
        <v>0.36873558777327781</v>
      </c>
      <c r="E40" s="11">
        <v>9.810196884758858E-2</v>
      </c>
    </row>
    <row r="41" spans="1:5" x14ac:dyDescent="0.25">
      <c r="A41" s="11" t="s">
        <v>59</v>
      </c>
      <c r="B41" s="11">
        <v>120</v>
      </c>
      <c r="C41" s="11" t="s">
        <v>61</v>
      </c>
      <c r="D41" s="11">
        <v>0.1718798804545941</v>
      </c>
      <c r="E41" s="11">
        <v>6.0866991955110909E-2</v>
      </c>
    </row>
    <row r="42" spans="1:5" x14ac:dyDescent="0.25">
      <c r="A42" s="11" t="s">
        <v>59</v>
      </c>
      <c r="B42" s="11">
        <v>0</v>
      </c>
      <c r="C42" s="11" t="s">
        <v>62</v>
      </c>
      <c r="D42" s="11">
        <v>1</v>
      </c>
      <c r="E42" s="11">
        <v>0</v>
      </c>
    </row>
    <row r="43" spans="1:5" x14ac:dyDescent="0.25">
      <c r="A43" s="11" t="s">
        <v>59</v>
      </c>
      <c r="B43" s="11">
        <v>1</v>
      </c>
      <c r="C43" s="11" t="s">
        <v>62</v>
      </c>
      <c r="D43" s="11">
        <v>0.92017663984084752</v>
      </c>
      <c r="E43" s="11">
        <v>4.8009458560923174E-2</v>
      </c>
    </row>
    <row r="44" spans="1:5" x14ac:dyDescent="0.25">
      <c r="A44" s="11" t="s">
        <v>59</v>
      </c>
      <c r="B44" s="11">
        <v>3</v>
      </c>
      <c r="C44" s="11" t="s">
        <v>62</v>
      </c>
      <c r="D44" s="11">
        <v>0.85695046567628186</v>
      </c>
      <c r="E44" s="11">
        <v>3.28745354873115E-2</v>
      </c>
    </row>
    <row r="45" spans="1:5" x14ac:dyDescent="0.25">
      <c r="A45" s="11" t="s">
        <v>59</v>
      </c>
      <c r="B45" s="11">
        <v>5</v>
      </c>
      <c r="C45" s="11" t="s">
        <v>62</v>
      </c>
      <c r="D45" s="11">
        <v>0.86447773318490861</v>
      </c>
      <c r="E45" s="11">
        <v>5.8662538090991957E-2</v>
      </c>
    </row>
    <row r="46" spans="1:5" x14ac:dyDescent="0.25">
      <c r="A46" s="11" t="s">
        <v>59</v>
      </c>
      <c r="B46" s="11">
        <v>10</v>
      </c>
      <c r="C46" s="11" t="s">
        <v>62</v>
      </c>
      <c r="D46" s="11">
        <v>0.79003108993998694</v>
      </c>
      <c r="E46" s="11">
        <v>6.4391313695269278E-2</v>
      </c>
    </row>
    <row r="47" spans="1:5" x14ac:dyDescent="0.25">
      <c r="A47" s="11" t="s">
        <v>59</v>
      </c>
      <c r="B47" s="11">
        <v>30</v>
      </c>
      <c r="C47" s="11" t="s">
        <v>62</v>
      </c>
      <c r="D47" s="11">
        <v>0.58051405099109454</v>
      </c>
      <c r="E47" s="11">
        <v>0.16967871804129711</v>
      </c>
    </row>
    <row r="48" spans="1:5" x14ac:dyDescent="0.25">
      <c r="A48" s="11" t="s">
        <v>59</v>
      </c>
      <c r="B48" s="11">
        <v>60</v>
      </c>
      <c r="C48" s="11" t="s">
        <v>62</v>
      </c>
      <c r="D48" s="11">
        <v>0.41938982729772706</v>
      </c>
      <c r="E48" s="11">
        <v>0.22965930080449123</v>
      </c>
    </row>
    <row r="49" spans="1:5" x14ac:dyDescent="0.25">
      <c r="A49" s="11" t="s">
        <v>59</v>
      </c>
      <c r="B49" s="11">
        <v>120</v>
      </c>
      <c r="C49" s="11" t="s">
        <v>62</v>
      </c>
      <c r="D49" s="11">
        <v>0.24627587213358793</v>
      </c>
      <c r="E49" s="11">
        <v>0.22144324340216015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NudE.1 WT R1</vt:lpstr>
      <vt:lpstr>NudC WT R1</vt:lpstr>
      <vt:lpstr>NudE.1 WT R2</vt:lpstr>
      <vt:lpstr>NudC WT R2</vt:lpstr>
      <vt:lpstr>NudE.1 WT R3</vt:lpstr>
      <vt:lpstr>NudC WT R3</vt:lpstr>
      <vt:lpstr>NudE.1 WT R6</vt:lpstr>
      <vt:lpstr>NudC WT R6</vt:lpstr>
      <vt:lpstr>Gathered</vt:lpstr>
      <vt:lpstr>Final_R1_R2_R6</vt:lpstr>
      <vt:lpstr>Final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2023-05-11T06:50:40Z</dcterms:created>
  <dcterms:modified xsi:type="dcterms:W3CDTF">2023-06-14T07:05:38Z</dcterms:modified>
</cp:coreProperties>
</file>