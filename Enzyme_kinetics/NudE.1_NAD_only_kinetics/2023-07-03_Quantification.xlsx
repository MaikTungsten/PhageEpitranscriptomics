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Q:\Lab Members\Maik\Project_NAD-captureSeq_final_data\NudE.1_NAD_only_kinetics\"/>
    </mc:Choice>
  </mc:AlternateContent>
  <bookViews>
    <workbookView xWindow="0" yWindow="0" windowWidth="21570" windowHeight="9405" activeTab="6"/>
  </bookViews>
  <sheets>
    <sheet name="NudE.1 R3, R4" sheetId="1" r:id="rId1"/>
    <sheet name="NudC R3,R4" sheetId="2" r:id="rId2"/>
    <sheet name="R1" sheetId="3" r:id="rId3"/>
    <sheet name="R2" sheetId="6" r:id="rId4"/>
    <sheet name="All" sheetId="4" r:id="rId5"/>
    <sheet name="Mean_SD_R1_R3_R4" sheetId="5" r:id="rId6"/>
    <sheet name="Mean_SD_R2_R3_R4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5" i="7" l="1"/>
  <c r="F25" i="7"/>
  <c r="G24" i="7"/>
  <c r="F24" i="7"/>
  <c r="G23" i="7"/>
  <c r="F23" i="7"/>
  <c r="G22" i="7"/>
  <c r="F22" i="7"/>
  <c r="G21" i="7"/>
  <c r="F21" i="7"/>
  <c r="G20" i="7"/>
  <c r="F20" i="7"/>
  <c r="G19" i="7"/>
  <c r="F19" i="7"/>
  <c r="G18" i="7"/>
  <c r="F18" i="7"/>
  <c r="G17" i="7"/>
  <c r="F17" i="7"/>
  <c r="G16" i="7"/>
  <c r="F16" i="7"/>
  <c r="G15" i="7"/>
  <c r="F15" i="7"/>
  <c r="G14" i="7"/>
  <c r="F14" i="7"/>
  <c r="G13" i="7"/>
  <c r="F13" i="7"/>
  <c r="G12" i="7"/>
  <c r="F12" i="7"/>
  <c r="G11" i="7"/>
  <c r="F11" i="7"/>
  <c r="G10" i="7"/>
  <c r="F10" i="7"/>
  <c r="G9" i="7"/>
  <c r="F9" i="7"/>
  <c r="G8" i="7"/>
  <c r="F8" i="7"/>
  <c r="G7" i="7"/>
  <c r="F7" i="7"/>
  <c r="G6" i="7"/>
  <c r="F6" i="7"/>
  <c r="G5" i="7"/>
  <c r="F5" i="7"/>
  <c r="G4" i="7"/>
  <c r="F4" i="7"/>
  <c r="G3" i="7"/>
  <c r="F3" i="7"/>
  <c r="G2" i="7"/>
  <c r="F2" i="7"/>
  <c r="P23" i="6"/>
  <c r="P24" i="6"/>
  <c r="P25" i="6"/>
  <c r="P26" i="6"/>
  <c r="P27" i="6"/>
  <c r="P28" i="6"/>
  <c r="P22" i="6"/>
  <c r="P16" i="6"/>
  <c r="P17" i="6"/>
  <c r="P18" i="6"/>
  <c r="P19" i="6"/>
  <c r="P20" i="6"/>
  <c r="P21" i="6"/>
  <c r="P15" i="6"/>
  <c r="P9" i="6"/>
  <c r="P10" i="6"/>
  <c r="P11" i="6"/>
  <c r="P12" i="6"/>
  <c r="P13" i="6"/>
  <c r="P14" i="6"/>
  <c r="P8" i="6"/>
  <c r="G3" i="5" l="1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3" i="5"/>
  <c r="F4" i="5"/>
  <c r="F5" i="5"/>
  <c r="F6" i="5"/>
  <c r="F7" i="5"/>
  <c r="F8" i="5"/>
  <c r="F9" i="5"/>
  <c r="F2" i="5"/>
  <c r="P25" i="3"/>
  <c r="P26" i="3"/>
  <c r="P27" i="3"/>
  <c r="P28" i="3"/>
  <c r="P29" i="3"/>
  <c r="P30" i="3"/>
  <c r="P31" i="3"/>
  <c r="P24" i="3"/>
  <c r="P17" i="3"/>
  <c r="P18" i="3"/>
  <c r="P19" i="3"/>
  <c r="P20" i="3"/>
  <c r="P21" i="3"/>
  <c r="P22" i="3"/>
  <c r="P23" i="3"/>
  <c r="P16" i="3"/>
  <c r="P9" i="3"/>
  <c r="P10" i="3"/>
  <c r="P11" i="3"/>
  <c r="P12" i="3"/>
  <c r="P13" i="3"/>
  <c r="P14" i="3"/>
  <c r="P15" i="3"/>
  <c r="P8" i="3"/>
  <c r="P16" i="2"/>
  <c r="P17" i="2"/>
  <c r="P18" i="2"/>
  <c r="P19" i="2"/>
  <c r="P20" i="2"/>
  <c r="P21" i="2"/>
  <c r="P22" i="2"/>
  <c r="P15" i="2"/>
  <c r="P8" i="2"/>
  <c r="P9" i="2"/>
  <c r="P10" i="2"/>
  <c r="P11" i="2"/>
  <c r="P12" i="2"/>
  <c r="P13" i="2"/>
  <c r="P14" i="2"/>
  <c r="P7" i="2"/>
  <c r="P34" i="1"/>
  <c r="P35" i="1"/>
  <c r="P36" i="1"/>
  <c r="P37" i="1"/>
  <c r="P38" i="1"/>
  <c r="P39" i="1"/>
  <c r="P40" i="1"/>
  <c r="P33" i="1"/>
  <c r="P26" i="1"/>
  <c r="P27" i="1"/>
  <c r="P28" i="1"/>
  <c r="P29" i="1"/>
  <c r="P30" i="1"/>
  <c r="P31" i="1"/>
  <c r="P32" i="1"/>
  <c r="P25" i="1"/>
  <c r="P18" i="1"/>
  <c r="P19" i="1"/>
  <c r="P20" i="1"/>
  <c r="P21" i="1"/>
  <c r="P22" i="1"/>
  <c r="P23" i="1"/>
  <c r="P24" i="1"/>
  <c r="P17" i="1"/>
  <c r="P10" i="1"/>
  <c r="P11" i="1"/>
  <c r="P12" i="1"/>
  <c r="P13" i="1"/>
  <c r="P14" i="1"/>
  <c r="P15" i="1"/>
  <c r="P16" i="1"/>
  <c r="P9" i="1"/>
</calcChain>
</file>

<file path=xl/sharedStrings.xml><?xml version="1.0" encoding="utf-8"?>
<sst xmlns="http://schemas.openxmlformats.org/spreadsheetml/2006/main" count="697" uniqueCount="78">
  <si>
    <t>20230625-NAD_kinetics_R3_R4_A-B-D-E-[Phosphor]_quanti</t>
  </si>
  <si>
    <t>No.</t>
  </si>
  <si>
    <t>Label</t>
  </si>
  <si>
    <t>Type</t>
  </si>
  <si>
    <t>Volume (Int)</t>
  </si>
  <si>
    <t>Adj. Vol. (Int)</t>
  </si>
  <si>
    <t>Mean Bkgd. (Int)</t>
  </si>
  <si>
    <t>Abs. Quant.</t>
  </si>
  <si>
    <t>Rel. Quant.</t>
  </si>
  <si>
    <t># of Pixels</t>
  </si>
  <si>
    <t>Min. Value (Int)</t>
  </si>
  <si>
    <t>Max. Value (Int)</t>
  </si>
  <si>
    <t>Mean Value (Int)</t>
  </si>
  <si>
    <t>Std. Dev.</t>
  </si>
  <si>
    <t>Area (mm2)</t>
  </si>
  <si>
    <t>U1</t>
  </si>
  <si>
    <t>Unknown</t>
  </si>
  <si>
    <t>N/A</t>
  </si>
  <si>
    <t>U2</t>
  </si>
  <si>
    <t>U3</t>
  </si>
  <si>
    <t>U4</t>
  </si>
  <si>
    <t>U5</t>
  </si>
  <si>
    <t>U6</t>
  </si>
  <si>
    <t>U7</t>
  </si>
  <si>
    <t>U8</t>
  </si>
  <si>
    <t>U9</t>
  </si>
  <si>
    <t>U10</t>
  </si>
  <si>
    <t>U11</t>
  </si>
  <si>
    <t>U12</t>
  </si>
  <si>
    <t>U13</t>
  </si>
  <si>
    <t>U14</t>
  </si>
  <si>
    <t>U15</t>
  </si>
  <si>
    <t>U16</t>
  </si>
  <si>
    <t>U17</t>
  </si>
  <si>
    <t>U18</t>
  </si>
  <si>
    <t>U19</t>
  </si>
  <si>
    <t>U20</t>
  </si>
  <si>
    <t>U21</t>
  </si>
  <si>
    <t>U22</t>
  </si>
  <si>
    <t>U23</t>
  </si>
  <si>
    <t>U24</t>
  </si>
  <si>
    <t>U25</t>
  </si>
  <si>
    <t>U26</t>
  </si>
  <si>
    <t>U27</t>
  </si>
  <si>
    <t>U28</t>
  </si>
  <si>
    <t>U29</t>
  </si>
  <si>
    <t>U30</t>
  </si>
  <si>
    <t>U31</t>
  </si>
  <si>
    <t>U32</t>
  </si>
  <si>
    <t>1to8: NudE.1 WT R3</t>
  </si>
  <si>
    <t>9to16: NudE.1 M1 R3</t>
  </si>
  <si>
    <t>17to24: NudE.1 WT R4</t>
  </si>
  <si>
    <t>25to32: NudE.1 M1 R4</t>
  </si>
  <si>
    <t>1to8: NudC WT R3</t>
  </si>
  <si>
    <t>9to16: NudC R4</t>
  </si>
  <si>
    <t>20230625-NAD_kinetics_R3_R4_C_and_F-[Phosphor]</t>
  </si>
  <si>
    <t>20230622-NAD-kietics1_A-C_rescan-[Phosphor]</t>
  </si>
  <si>
    <t>1to8: NudE.1 WT R1</t>
  </si>
  <si>
    <t>9to16: NudE.1 M1 R1</t>
  </si>
  <si>
    <t>17to24: NudC R1</t>
  </si>
  <si>
    <t>NudE.1 WT</t>
  </si>
  <si>
    <t>NudE.1 M1</t>
  </si>
  <si>
    <t>R1</t>
  </si>
  <si>
    <t>NudC WT</t>
  </si>
  <si>
    <t>R2</t>
  </si>
  <si>
    <t>R3</t>
  </si>
  <si>
    <t>Enzyme</t>
  </si>
  <si>
    <t>Replicate</t>
  </si>
  <si>
    <t>Value</t>
  </si>
  <si>
    <t>Time</t>
  </si>
  <si>
    <t>Mean</t>
  </si>
  <si>
    <t>SD</t>
  </si>
  <si>
    <t>R4</t>
  </si>
  <si>
    <t>20230621-Kinetics2_D-F-[Phosphor]_quanti_final</t>
  </si>
  <si>
    <t>1to7: NudE.1 WT R1</t>
  </si>
  <si>
    <t>8to14: NudE.1 M1 R1</t>
  </si>
  <si>
    <t>15to21: NudC R1</t>
  </si>
  <si>
    <t>t60 not included due to experimetal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</si>
</sst>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" fontId="0" fillId="0" borderId="0" xfId="0" applyNumberFormat="1"/>
    <xf numFmtId="0" fontId="1" fillId="0" borderId="0" xfId="0" applyFont="1"/>
    <xf numFmtId="16" fontId="0" fillId="0" borderId="0" xfId="0" applyNumberForma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0"/>
  <sheetViews>
    <sheetView workbookViewId="0">
      <selection activeCell="P25" sqref="P25:P40"/>
    </sheetView>
  </sheetViews>
  <sheetFormatPr defaultRowHeight="15" x14ac:dyDescent="0.25"/>
  <cols>
    <col min="4" max="4" width="17.42578125" customWidth="1"/>
    <col min="5" max="5" width="16.28515625" customWidth="1"/>
  </cols>
  <sheetData>
    <row r="1" spans="1:16" x14ac:dyDescent="0.25">
      <c r="A1" s="2" t="s">
        <v>0</v>
      </c>
    </row>
    <row r="3" spans="1:16" x14ac:dyDescent="0.25">
      <c r="A3" s="3" t="s">
        <v>49</v>
      </c>
    </row>
    <row r="4" spans="1:16" x14ac:dyDescent="0.25">
      <c r="A4" s="3" t="s">
        <v>50</v>
      </c>
    </row>
    <row r="5" spans="1:16" x14ac:dyDescent="0.25">
      <c r="A5" s="3" t="s">
        <v>51</v>
      </c>
    </row>
    <row r="6" spans="1:16" x14ac:dyDescent="0.25">
      <c r="A6" s="3" t="s">
        <v>52</v>
      </c>
    </row>
    <row r="8" spans="1:16" x14ac:dyDescent="0.25">
      <c r="A8" t="s">
        <v>1</v>
      </c>
      <c r="B8" t="s">
        <v>2</v>
      </c>
      <c r="C8" t="s">
        <v>3</v>
      </c>
      <c r="D8" t="s">
        <v>4</v>
      </c>
      <c r="E8" t="s">
        <v>5</v>
      </c>
      <c r="F8" t="s">
        <v>6</v>
      </c>
      <c r="G8" t="s">
        <v>7</v>
      </c>
      <c r="H8" t="s">
        <v>8</v>
      </c>
      <c r="I8" t="s">
        <v>9</v>
      </c>
      <c r="J8" t="s">
        <v>10</v>
      </c>
      <c r="K8" t="s">
        <v>11</v>
      </c>
      <c r="L8" t="s">
        <v>12</v>
      </c>
      <c r="M8" t="s">
        <v>13</v>
      </c>
      <c r="N8" t="s">
        <v>14</v>
      </c>
    </row>
    <row r="9" spans="1:16" x14ac:dyDescent="0.25">
      <c r="A9">
        <v>1</v>
      </c>
      <c r="B9" t="s">
        <v>15</v>
      </c>
      <c r="C9" t="s">
        <v>16</v>
      </c>
      <c r="D9" s="1">
        <v>198786183</v>
      </c>
      <c r="E9" s="1">
        <v>154920202.22110599</v>
      </c>
      <c r="F9" s="1">
        <v>4555.138191</v>
      </c>
      <c r="G9" t="s">
        <v>17</v>
      </c>
      <c r="H9" t="s">
        <v>17</v>
      </c>
      <c r="I9">
        <v>9630</v>
      </c>
      <c r="J9">
        <v>746</v>
      </c>
      <c r="K9" s="1">
        <v>65534</v>
      </c>
      <c r="L9" s="1">
        <v>20642.386603999999</v>
      </c>
      <c r="M9" s="1">
        <v>16224.704970999999</v>
      </c>
      <c r="N9">
        <v>96.3</v>
      </c>
      <c r="P9">
        <f>E9/154920202.221106</f>
        <v>1</v>
      </c>
    </row>
    <row r="10" spans="1:16" x14ac:dyDescent="0.25">
      <c r="A10">
        <v>2</v>
      </c>
      <c r="B10" t="s">
        <v>18</v>
      </c>
      <c r="C10" t="s">
        <v>16</v>
      </c>
      <c r="D10" s="1">
        <v>146525746</v>
      </c>
      <c r="E10" s="1">
        <v>108536436.427136</v>
      </c>
      <c r="F10" s="1">
        <v>3944.8919599999999</v>
      </c>
      <c r="G10" t="s">
        <v>17</v>
      </c>
      <c r="H10" t="s">
        <v>17</v>
      </c>
      <c r="I10">
        <v>9630</v>
      </c>
      <c r="J10">
        <v>633</v>
      </c>
      <c r="K10" s="1">
        <v>45252</v>
      </c>
      <c r="L10" s="1">
        <v>15215.549948</v>
      </c>
      <c r="M10" s="1">
        <v>11374.313378000001</v>
      </c>
      <c r="N10">
        <v>96.3</v>
      </c>
      <c r="P10">
        <f t="shared" ref="P10:P16" si="0">E10/154920202.221106</f>
        <v>0.70059575749991654</v>
      </c>
    </row>
    <row r="11" spans="1:16" x14ac:dyDescent="0.25">
      <c r="A11">
        <v>3</v>
      </c>
      <c r="B11" t="s">
        <v>19</v>
      </c>
      <c r="C11" t="s">
        <v>16</v>
      </c>
      <c r="D11" s="1">
        <v>127965037</v>
      </c>
      <c r="E11" s="1">
        <v>91041947.477386996</v>
      </c>
      <c r="F11" s="1">
        <v>3834.1733669999999</v>
      </c>
      <c r="G11" t="s">
        <v>17</v>
      </c>
      <c r="H11" t="s">
        <v>17</v>
      </c>
      <c r="I11">
        <v>9630</v>
      </c>
      <c r="J11" s="1">
        <v>1114</v>
      </c>
      <c r="K11" s="1">
        <v>38218</v>
      </c>
      <c r="L11" s="1">
        <v>13288.165836</v>
      </c>
      <c r="M11" s="1">
        <v>9278.4370660000004</v>
      </c>
      <c r="N11">
        <v>96.3</v>
      </c>
      <c r="P11">
        <f t="shared" si="0"/>
        <v>0.58766994989749399</v>
      </c>
    </row>
    <row r="12" spans="1:16" x14ac:dyDescent="0.25">
      <c r="A12">
        <v>4</v>
      </c>
      <c r="B12" t="s">
        <v>20</v>
      </c>
      <c r="C12" t="s">
        <v>16</v>
      </c>
      <c r="D12" s="1">
        <v>129566102</v>
      </c>
      <c r="E12" s="1">
        <v>92855743.532663003</v>
      </c>
      <c r="F12" s="1">
        <v>3812.082915</v>
      </c>
      <c r="G12" t="s">
        <v>17</v>
      </c>
      <c r="H12" t="s">
        <v>17</v>
      </c>
      <c r="I12">
        <v>9630</v>
      </c>
      <c r="J12" s="1">
        <v>1074</v>
      </c>
      <c r="K12" s="1">
        <v>37993</v>
      </c>
      <c r="L12" s="1">
        <v>13454.423884</v>
      </c>
      <c r="M12" s="1">
        <v>9159.1744039999994</v>
      </c>
      <c r="N12">
        <v>96.3</v>
      </c>
      <c r="P12">
        <f t="shared" si="0"/>
        <v>0.59937788746323062</v>
      </c>
    </row>
    <row r="13" spans="1:16" x14ac:dyDescent="0.25">
      <c r="A13">
        <v>5</v>
      </c>
      <c r="B13" t="s">
        <v>21</v>
      </c>
      <c r="C13" t="s">
        <v>16</v>
      </c>
      <c r="D13" s="1">
        <v>120667653</v>
      </c>
      <c r="E13" s="1">
        <v>82601472.798995003</v>
      </c>
      <c r="F13" s="1">
        <v>3952.8743720000002</v>
      </c>
      <c r="G13" t="s">
        <v>17</v>
      </c>
      <c r="H13" t="s">
        <v>17</v>
      </c>
      <c r="I13">
        <v>9630</v>
      </c>
      <c r="J13" s="1">
        <v>1378</v>
      </c>
      <c r="K13" s="1">
        <v>36088</v>
      </c>
      <c r="L13" s="1">
        <v>12530.389719999999</v>
      </c>
      <c r="M13" s="1">
        <v>8473.3298599999998</v>
      </c>
      <c r="N13">
        <v>96.3</v>
      </c>
      <c r="P13">
        <f t="shared" si="0"/>
        <v>0.53318722551823239</v>
      </c>
    </row>
    <row r="14" spans="1:16" x14ac:dyDescent="0.25">
      <c r="A14">
        <v>6</v>
      </c>
      <c r="B14" t="s">
        <v>22</v>
      </c>
      <c r="C14" t="s">
        <v>16</v>
      </c>
      <c r="D14" s="1">
        <v>100763845</v>
      </c>
      <c r="E14" s="1">
        <v>63925489.798995003</v>
      </c>
      <c r="F14" s="1">
        <v>3825.3743720000002</v>
      </c>
      <c r="G14" t="s">
        <v>17</v>
      </c>
      <c r="H14" t="s">
        <v>17</v>
      </c>
      <c r="I14">
        <v>9630</v>
      </c>
      <c r="J14">
        <v>876</v>
      </c>
      <c r="K14" s="1">
        <v>27777</v>
      </c>
      <c r="L14" s="1">
        <v>10463.535306</v>
      </c>
      <c r="M14" s="1">
        <v>6528.5134399999997</v>
      </c>
      <c r="N14">
        <v>96.3</v>
      </c>
      <c r="P14">
        <f t="shared" si="0"/>
        <v>0.4126349493641826</v>
      </c>
    </row>
    <row r="15" spans="1:16" x14ac:dyDescent="0.25">
      <c r="A15">
        <v>7</v>
      </c>
      <c r="B15" t="s">
        <v>23</v>
      </c>
      <c r="C15" t="s">
        <v>16</v>
      </c>
      <c r="D15" s="1">
        <v>73050361</v>
      </c>
      <c r="E15" s="1">
        <v>37500320.748744003</v>
      </c>
      <c r="F15" s="1">
        <v>3691.5929649999998</v>
      </c>
      <c r="G15" t="s">
        <v>17</v>
      </c>
      <c r="H15" t="s">
        <v>17</v>
      </c>
      <c r="I15">
        <v>9630</v>
      </c>
      <c r="J15">
        <v>717</v>
      </c>
      <c r="K15" s="1">
        <v>17691</v>
      </c>
      <c r="L15" s="1">
        <v>7585.7072690000005</v>
      </c>
      <c r="M15" s="1">
        <v>4194.1427530000001</v>
      </c>
      <c r="N15">
        <v>96.3</v>
      </c>
      <c r="P15">
        <f t="shared" si="0"/>
        <v>0.24206217272568883</v>
      </c>
    </row>
    <row r="16" spans="1:16" x14ac:dyDescent="0.25">
      <c r="A16">
        <v>8</v>
      </c>
      <c r="B16" t="s">
        <v>24</v>
      </c>
      <c r="C16" t="s">
        <v>16</v>
      </c>
      <c r="D16" s="1">
        <v>47361009</v>
      </c>
      <c r="E16" s="1">
        <v>16306097.894471999</v>
      </c>
      <c r="F16" s="1">
        <v>3224.809045</v>
      </c>
      <c r="G16" t="s">
        <v>17</v>
      </c>
      <c r="H16" t="s">
        <v>17</v>
      </c>
      <c r="I16">
        <v>9630</v>
      </c>
      <c r="J16">
        <v>102</v>
      </c>
      <c r="K16" s="1">
        <v>14457</v>
      </c>
      <c r="L16" s="1">
        <v>4918.0694700000004</v>
      </c>
      <c r="M16" s="1">
        <v>3300.9196109999998</v>
      </c>
      <c r="N16">
        <v>96.3</v>
      </c>
      <c r="P16">
        <f t="shared" si="0"/>
        <v>0.10525481932433529</v>
      </c>
    </row>
    <row r="17" spans="1:16" x14ac:dyDescent="0.25">
      <c r="A17">
        <v>9</v>
      </c>
      <c r="B17" t="s">
        <v>25</v>
      </c>
      <c r="C17" t="s">
        <v>16</v>
      </c>
      <c r="D17" s="1">
        <v>208919254</v>
      </c>
      <c r="E17" s="1">
        <v>159142509.879397</v>
      </c>
      <c r="F17" s="1">
        <v>5168.9246229999999</v>
      </c>
      <c r="G17" t="s">
        <v>17</v>
      </c>
      <c r="H17" t="s">
        <v>17</v>
      </c>
      <c r="I17">
        <v>9630</v>
      </c>
      <c r="J17">
        <v>963</v>
      </c>
      <c r="K17" s="1">
        <v>62502</v>
      </c>
      <c r="L17" s="1">
        <v>21694.626584000001</v>
      </c>
      <c r="M17" s="1">
        <v>15925.265552000001</v>
      </c>
      <c r="N17">
        <v>96.3</v>
      </c>
      <c r="P17">
        <f>E17/159142509.879397</f>
        <v>1</v>
      </c>
    </row>
    <row r="18" spans="1:16" x14ac:dyDescent="0.25">
      <c r="A18">
        <v>10</v>
      </c>
      <c r="B18" t="s">
        <v>26</v>
      </c>
      <c r="C18" t="s">
        <v>16</v>
      </c>
      <c r="D18" s="1">
        <v>143914309</v>
      </c>
      <c r="E18" s="1">
        <v>88054816.512563005</v>
      </c>
      <c r="F18" s="1">
        <v>5800.5703519999997</v>
      </c>
      <c r="G18" t="s">
        <v>17</v>
      </c>
      <c r="H18" t="s">
        <v>17</v>
      </c>
      <c r="I18">
        <v>9630</v>
      </c>
      <c r="J18">
        <v>566</v>
      </c>
      <c r="K18" s="1">
        <v>45289</v>
      </c>
      <c r="L18" s="1">
        <v>14944.37269</v>
      </c>
      <c r="M18" s="1">
        <v>11669.414306999999</v>
      </c>
      <c r="N18">
        <v>96.3</v>
      </c>
      <c r="P18">
        <f t="shared" ref="P18:P24" si="1">E18/159142509.879397</f>
        <v>0.55330795385402431</v>
      </c>
    </row>
    <row r="19" spans="1:16" x14ac:dyDescent="0.25">
      <c r="A19">
        <v>11</v>
      </c>
      <c r="B19" t="s">
        <v>27</v>
      </c>
      <c r="C19" t="s">
        <v>16</v>
      </c>
      <c r="D19" s="1">
        <v>155438748</v>
      </c>
      <c r="E19" s="1">
        <v>98752091.743718997</v>
      </c>
      <c r="F19" s="1">
        <v>5886.4648239999997</v>
      </c>
      <c r="G19" t="s">
        <v>17</v>
      </c>
      <c r="H19" t="s">
        <v>17</v>
      </c>
      <c r="I19">
        <v>9630</v>
      </c>
      <c r="J19">
        <v>543</v>
      </c>
      <c r="K19" s="1">
        <v>48104</v>
      </c>
      <c r="L19" s="1">
        <v>16141.095327000001</v>
      </c>
      <c r="M19" s="1">
        <v>12153.823944</v>
      </c>
      <c r="N19">
        <v>96.3</v>
      </c>
      <c r="P19">
        <f t="shared" si="1"/>
        <v>0.62052616751210166</v>
      </c>
    </row>
    <row r="20" spans="1:16" x14ac:dyDescent="0.25">
      <c r="A20">
        <v>12</v>
      </c>
      <c r="B20" t="s">
        <v>28</v>
      </c>
      <c r="C20" t="s">
        <v>16</v>
      </c>
      <c r="D20" s="1">
        <v>147144221</v>
      </c>
      <c r="E20" s="1">
        <v>97634769.869347006</v>
      </c>
      <c r="F20" s="1">
        <v>5141.1683419999999</v>
      </c>
      <c r="G20" t="s">
        <v>17</v>
      </c>
      <c r="H20" t="s">
        <v>17</v>
      </c>
      <c r="I20">
        <v>9630</v>
      </c>
      <c r="J20">
        <v>638</v>
      </c>
      <c r="K20" s="1">
        <v>46500</v>
      </c>
      <c r="L20" s="1">
        <v>15279.773728</v>
      </c>
      <c r="M20" s="1">
        <v>11622.435390000001</v>
      </c>
      <c r="N20">
        <v>96.3</v>
      </c>
      <c r="P20">
        <f t="shared" si="1"/>
        <v>0.61350527865456927</v>
      </c>
    </row>
    <row r="21" spans="1:16" x14ac:dyDescent="0.25">
      <c r="A21">
        <v>13</v>
      </c>
      <c r="B21" t="s">
        <v>29</v>
      </c>
      <c r="C21" t="s">
        <v>16</v>
      </c>
      <c r="D21" s="1">
        <v>168334108</v>
      </c>
      <c r="E21" s="1">
        <v>114353022.020101</v>
      </c>
      <c r="F21" s="1">
        <v>5605.5125630000002</v>
      </c>
      <c r="G21" t="s">
        <v>17</v>
      </c>
      <c r="H21" t="s">
        <v>17</v>
      </c>
      <c r="I21">
        <v>9630</v>
      </c>
      <c r="J21">
        <v>978</v>
      </c>
      <c r="K21" s="1">
        <v>49077</v>
      </c>
      <c r="L21" s="1">
        <v>17480.177361999999</v>
      </c>
      <c r="M21" s="1">
        <v>11810.519016</v>
      </c>
      <c r="N21">
        <v>96.3</v>
      </c>
      <c r="P21">
        <f t="shared" si="1"/>
        <v>0.71855736161734007</v>
      </c>
    </row>
    <row r="22" spans="1:16" x14ac:dyDescent="0.25">
      <c r="A22">
        <v>14</v>
      </c>
      <c r="B22" t="s">
        <v>30</v>
      </c>
      <c r="C22" t="s">
        <v>16</v>
      </c>
      <c r="D22" s="1">
        <v>159386312</v>
      </c>
      <c r="E22" s="1">
        <v>111237013.68341701</v>
      </c>
      <c r="F22" s="1">
        <v>4999.9271360000002</v>
      </c>
      <c r="G22" t="s">
        <v>17</v>
      </c>
      <c r="H22" t="s">
        <v>17</v>
      </c>
      <c r="I22">
        <v>9630</v>
      </c>
      <c r="J22" s="1">
        <v>1041</v>
      </c>
      <c r="K22" s="1">
        <v>46689</v>
      </c>
      <c r="L22" s="1">
        <v>16551.018898999999</v>
      </c>
      <c r="M22" s="1">
        <v>11472.580690999999</v>
      </c>
      <c r="N22">
        <v>96.3</v>
      </c>
      <c r="P22">
        <f t="shared" si="1"/>
        <v>0.69897737422713624</v>
      </c>
    </row>
    <row r="23" spans="1:16" x14ac:dyDescent="0.25">
      <c r="A23">
        <v>15</v>
      </c>
      <c r="B23" t="s">
        <v>31</v>
      </c>
      <c r="C23" t="s">
        <v>16</v>
      </c>
      <c r="D23" s="1">
        <v>160478379</v>
      </c>
      <c r="E23" s="1">
        <v>105867616.839196</v>
      </c>
      <c r="F23" s="1">
        <v>5670.8994970000003</v>
      </c>
      <c r="G23" t="s">
        <v>17</v>
      </c>
      <c r="H23" t="s">
        <v>17</v>
      </c>
      <c r="I23">
        <v>9630</v>
      </c>
      <c r="J23">
        <v>781</v>
      </c>
      <c r="K23" s="1">
        <v>47383</v>
      </c>
      <c r="L23" s="1">
        <v>16664.421494999999</v>
      </c>
      <c r="M23" s="1">
        <v>11659.431787</v>
      </c>
      <c r="N23">
        <v>96.3</v>
      </c>
      <c r="P23">
        <f t="shared" si="1"/>
        <v>0.66523782312736979</v>
      </c>
    </row>
    <row r="24" spans="1:16" x14ac:dyDescent="0.25">
      <c r="A24">
        <v>16</v>
      </c>
      <c r="B24" t="s">
        <v>32</v>
      </c>
      <c r="C24" t="s">
        <v>16</v>
      </c>
      <c r="D24" s="1">
        <v>150055868</v>
      </c>
      <c r="E24" s="1">
        <v>106595895.76381899</v>
      </c>
      <c r="F24" s="1">
        <v>4512.9773869999999</v>
      </c>
      <c r="G24" t="s">
        <v>17</v>
      </c>
      <c r="H24" t="s">
        <v>17</v>
      </c>
      <c r="I24">
        <v>9630</v>
      </c>
      <c r="J24">
        <v>453</v>
      </c>
      <c r="K24" s="1">
        <v>43012</v>
      </c>
      <c r="L24" s="1">
        <v>15582.125441</v>
      </c>
      <c r="M24" s="1">
        <v>10628.084580999999</v>
      </c>
      <c r="N24">
        <v>96.3</v>
      </c>
      <c r="P24">
        <f t="shared" si="1"/>
        <v>0.66981409206503395</v>
      </c>
    </row>
    <row r="25" spans="1:16" x14ac:dyDescent="0.25">
      <c r="A25">
        <v>17</v>
      </c>
      <c r="B25" t="s">
        <v>33</v>
      </c>
      <c r="C25" t="s">
        <v>16</v>
      </c>
      <c r="D25" s="1">
        <v>165857669</v>
      </c>
      <c r="E25" s="1">
        <v>120436298.04522599</v>
      </c>
      <c r="F25" s="1">
        <v>4716.6532660000003</v>
      </c>
      <c r="G25" t="s">
        <v>17</v>
      </c>
      <c r="H25" t="s">
        <v>17</v>
      </c>
      <c r="I25">
        <v>9630</v>
      </c>
      <c r="J25" s="1">
        <v>1046</v>
      </c>
      <c r="K25" s="1">
        <v>50616</v>
      </c>
      <c r="L25" s="1">
        <v>17223.018587999999</v>
      </c>
      <c r="M25" s="1">
        <v>12279.253821</v>
      </c>
      <c r="N25">
        <v>96.3</v>
      </c>
      <c r="P25">
        <f>E25/120436298.045226</f>
        <v>1</v>
      </c>
    </row>
    <row r="26" spans="1:16" x14ac:dyDescent="0.25">
      <c r="A26">
        <v>18</v>
      </c>
      <c r="B26" t="s">
        <v>34</v>
      </c>
      <c r="C26" t="s">
        <v>16</v>
      </c>
      <c r="D26" s="1">
        <v>117869338</v>
      </c>
      <c r="E26" s="1">
        <v>86411249.281406999</v>
      </c>
      <c r="F26" s="1">
        <v>3266.6758789999999</v>
      </c>
      <c r="G26" t="s">
        <v>17</v>
      </c>
      <c r="H26" t="s">
        <v>17</v>
      </c>
      <c r="I26">
        <v>9630</v>
      </c>
      <c r="J26">
        <v>501</v>
      </c>
      <c r="K26" s="1">
        <v>35891</v>
      </c>
      <c r="L26" s="1">
        <v>12239.806646000001</v>
      </c>
      <c r="M26" s="1">
        <v>8941.9773729999997</v>
      </c>
      <c r="N26">
        <v>96.3</v>
      </c>
      <c r="P26">
        <f t="shared" ref="P26:P32" si="2">E26/120436298.045226</f>
        <v>0.71748509945862027</v>
      </c>
    </row>
    <row r="27" spans="1:16" x14ac:dyDescent="0.25">
      <c r="A27">
        <v>19</v>
      </c>
      <c r="B27" t="s">
        <v>35</v>
      </c>
      <c r="C27" t="s">
        <v>16</v>
      </c>
      <c r="D27" s="1">
        <v>112013700</v>
      </c>
      <c r="E27" s="1">
        <v>82951013.291456997</v>
      </c>
      <c r="F27" s="1">
        <v>3017.9321610000002</v>
      </c>
      <c r="G27" t="s">
        <v>17</v>
      </c>
      <c r="H27" t="s">
        <v>17</v>
      </c>
      <c r="I27">
        <v>9630</v>
      </c>
      <c r="J27">
        <v>438</v>
      </c>
      <c r="K27" s="1">
        <v>36711</v>
      </c>
      <c r="L27" s="1">
        <v>11631.744548000001</v>
      </c>
      <c r="M27" s="1">
        <v>8973.1058659999999</v>
      </c>
      <c r="N27">
        <v>96.3</v>
      </c>
      <c r="P27">
        <f t="shared" si="2"/>
        <v>0.68875425961953263</v>
      </c>
    </row>
    <row r="28" spans="1:16" x14ac:dyDescent="0.25">
      <c r="A28">
        <v>20</v>
      </c>
      <c r="B28" t="s">
        <v>36</v>
      </c>
      <c r="C28" t="s">
        <v>16</v>
      </c>
      <c r="D28" s="1">
        <v>109130301</v>
      </c>
      <c r="E28" s="1">
        <v>80112231.678391993</v>
      </c>
      <c r="F28" s="1">
        <v>3013.2989950000001</v>
      </c>
      <c r="G28" t="s">
        <v>17</v>
      </c>
      <c r="H28" t="s">
        <v>17</v>
      </c>
      <c r="I28">
        <v>9630</v>
      </c>
      <c r="J28">
        <v>597</v>
      </c>
      <c r="K28" s="1">
        <v>35890</v>
      </c>
      <c r="L28" s="1">
        <v>11332.326168</v>
      </c>
      <c r="M28" s="1">
        <v>8660.4657490000009</v>
      </c>
      <c r="N28">
        <v>96.3</v>
      </c>
      <c r="P28">
        <f t="shared" si="2"/>
        <v>0.66518344534559182</v>
      </c>
    </row>
    <row r="29" spans="1:16" x14ac:dyDescent="0.25">
      <c r="A29">
        <v>21</v>
      </c>
      <c r="B29" t="s">
        <v>37</v>
      </c>
      <c r="C29" t="s">
        <v>16</v>
      </c>
      <c r="D29" s="1">
        <v>100028769</v>
      </c>
      <c r="E29" s="1">
        <v>74065950.256281003</v>
      </c>
      <c r="F29" s="1">
        <v>2696.0351759999999</v>
      </c>
      <c r="G29" t="s">
        <v>17</v>
      </c>
      <c r="H29" t="s">
        <v>17</v>
      </c>
      <c r="I29">
        <v>9630</v>
      </c>
      <c r="J29">
        <v>724</v>
      </c>
      <c r="K29" s="1">
        <v>32284</v>
      </c>
      <c r="L29" s="1">
        <v>10387.203427</v>
      </c>
      <c r="M29" s="1">
        <v>7808.5488219999997</v>
      </c>
      <c r="N29">
        <v>96.3</v>
      </c>
      <c r="P29">
        <f t="shared" si="2"/>
        <v>0.61498029629296569</v>
      </c>
    </row>
    <row r="30" spans="1:16" x14ac:dyDescent="0.25">
      <c r="A30">
        <v>22</v>
      </c>
      <c r="B30" t="s">
        <v>38</v>
      </c>
      <c r="C30" t="s">
        <v>16</v>
      </c>
      <c r="D30" s="1">
        <v>83488965</v>
      </c>
      <c r="E30" s="1">
        <v>56021446.658290997</v>
      </c>
      <c r="F30" s="1">
        <v>2852.2864319999999</v>
      </c>
      <c r="G30" t="s">
        <v>17</v>
      </c>
      <c r="H30" t="s">
        <v>17</v>
      </c>
      <c r="I30">
        <v>9630</v>
      </c>
      <c r="J30">
        <v>636</v>
      </c>
      <c r="K30" s="1">
        <v>25705</v>
      </c>
      <c r="L30" s="1">
        <v>8669.6744550000003</v>
      </c>
      <c r="M30" s="1">
        <v>5921.5077769999998</v>
      </c>
      <c r="N30">
        <v>96.3</v>
      </c>
      <c r="P30">
        <f t="shared" si="2"/>
        <v>0.4651541733477555</v>
      </c>
    </row>
    <row r="31" spans="1:16" x14ac:dyDescent="0.25">
      <c r="A31">
        <v>23</v>
      </c>
      <c r="B31" t="s">
        <v>39</v>
      </c>
      <c r="C31" t="s">
        <v>16</v>
      </c>
      <c r="D31" s="1">
        <v>57281339</v>
      </c>
      <c r="E31" s="1">
        <v>26919691.110553</v>
      </c>
      <c r="F31" s="1">
        <v>3152.8190949999998</v>
      </c>
      <c r="G31" t="s">
        <v>17</v>
      </c>
      <c r="H31" t="s">
        <v>17</v>
      </c>
      <c r="I31">
        <v>9630</v>
      </c>
      <c r="J31">
        <v>373</v>
      </c>
      <c r="K31" s="1">
        <v>15610</v>
      </c>
      <c r="L31" s="1">
        <v>5948.2179649999998</v>
      </c>
      <c r="M31" s="1">
        <v>3744.6079880000002</v>
      </c>
      <c r="N31">
        <v>96.3</v>
      </c>
      <c r="P31">
        <f t="shared" si="2"/>
        <v>0.22351808837933704</v>
      </c>
    </row>
    <row r="32" spans="1:16" x14ac:dyDescent="0.25">
      <c r="A32">
        <v>24</v>
      </c>
      <c r="B32" t="s">
        <v>40</v>
      </c>
      <c r="C32" t="s">
        <v>16</v>
      </c>
      <c r="D32" s="1">
        <v>35784872</v>
      </c>
      <c r="E32" s="1">
        <v>10477256.195979999</v>
      </c>
      <c r="F32" s="1">
        <v>2627.9974870000001</v>
      </c>
      <c r="G32" t="s">
        <v>17</v>
      </c>
      <c r="H32" t="s">
        <v>17</v>
      </c>
      <c r="I32">
        <v>9630</v>
      </c>
      <c r="J32">
        <v>66</v>
      </c>
      <c r="K32" s="1">
        <v>12027</v>
      </c>
      <c r="L32" s="1">
        <v>3715.9784009999998</v>
      </c>
      <c r="M32" s="1">
        <v>2759.8364430000001</v>
      </c>
      <c r="N32">
        <v>96.3</v>
      </c>
      <c r="P32">
        <f t="shared" si="2"/>
        <v>8.6994173401490654E-2</v>
      </c>
    </row>
    <row r="33" spans="1:16" x14ac:dyDescent="0.25">
      <c r="A33">
        <v>25</v>
      </c>
      <c r="B33" t="s">
        <v>41</v>
      </c>
      <c r="C33" t="s">
        <v>16</v>
      </c>
      <c r="D33" s="1">
        <v>116689370</v>
      </c>
      <c r="E33" s="1">
        <v>84884310.929647997</v>
      </c>
      <c r="F33" s="1">
        <v>3302.7060299999998</v>
      </c>
      <c r="G33" t="s">
        <v>17</v>
      </c>
      <c r="H33" t="s">
        <v>17</v>
      </c>
      <c r="I33">
        <v>9630</v>
      </c>
      <c r="J33">
        <v>458</v>
      </c>
      <c r="K33" s="1">
        <v>37674</v>
      </c>
      <c r="L33" s="1">
        <v>12117.27622</v>
      </c>
      <c r="M33" s="1">
        <v>8947.4019069999995</v>
      </c>
      <c r="N33">
        <v>96.3</v>
      </c>
      <c r="P33">
        <f>E33/84884310.929648</f>
        <v>1</v>
      </c>
    </row>
    <row r="34" spans="1:16" x14ac:dyDescent="0.25">
      <c r="A34">
        <v>26</v>
      </c>
      <c r="B34" t="s">
        <v>42</v>
      </c>
      <c r="C34" t="s">
        <v>16</v>
      </c>
      <c r="D34" s="1">
        <v>120658401</v>
      </c>
      <c r="E34" s="1">
        <v>85577036.879397005</v>
      </c>
      <c r="F34" s="1">
        <v>3642.9246229999999</v>
      </c>
      <c r="G34" t="s">
        <v>17</v>
      </c>
      <c r="H34" t="s">
        <v>17</v>
      </c>
      <c r="I34">
        <v>9630</v>
      </c>
      <c r="J34">
        <v>507</v>
      </c>
      <c r="K34" s="1">
        <v>37102</v>
      </c>
      <c r="L34" s="1">
        <v>12529.428972</v>
      </c>
      <c r="M34" s="1">
        <v>8929.5182590000004</v>
      </c>
      <c r="N34">
        <v>96.3</v>
      </c>
      <c r="P34">
        <f t="shared" ref="P34:P40" si="3">E34/84884310.929648</f>
        <v>1.0081608243285751</v>
      </c>
    </row>
    <row r="35" spans="1:16" x14ac:dyDescent="0.25">
      <c r="A35">
        <v>27</v>
      </c>
      <c r="B35" t="s">
        <v>43</v>
      </c>
      <c r="C35" t="s">
        <v>16</v>
      </c>
      <c r="D35" s="1">
        <v>112052500</v>
      </c>
      <c r="E35" s="1">
        <v>81690319.798995003</v>
      </c>
      <c r="F35" s="1">
        <v>3152.8743720000002</v>
      </c>
      <c r="G35" t="s">
        <v>17</v>
      </c>
      <c r="H35" t="s">
        <v>17</v>
      </c>
      <c r="I35">
        <v>9630</v>
      </c>
      <c r="J35">
        <v>452</v>
      </c>
      <c r="K35" s="1">
        <v>35171</v>
      </c>
      <c r="L35" s="1">
        <v>11635.773623999999</v>
      </c>
      <c r="M35" s="1">
        <v>8482.2378009999993</v>
      </c>
      <c r="N35">
        <v>96.3</v>
      </c>
      <c r="P35">
        <f t="shared" si="3"/>
        <v>0.96237242081990659</v>
      </c>
    </row>
    <row r="36" spans="1:16" x14ac:dyDescent="0.25">
      <c r="A36">
        <v>28</v>
      </c>
      <c r="B36" t="s">
        <v>44</v>
      </c>
      <c r="C36" t="s">
        <v>16</v>
      </c>
      <c r="D36" s="1">
        <v>108809878</v>
      </c>
      <c r="E36" s="1">
        <v>77350458.502513006</v>
      </c>
      <c r="F36" s="1">
        <v>3266.8140699999999</v>
      </c>
      <c r="G36" t="s">
        <v>17</v>
      </c>
      <c r="H36" t="s">
        <v>17</v>
      </c>
      <c r="I36">
        <v>9630</v>
      </c>
      <c r="J36">
        <v>502</v>
      </c>
      <c r="K36" s="1">
        <v>33508</v>
      </c>
      <c r="L36" s="1">
        <v>11299.052752</v>
      </c>
      <c r="M36" s="1">
        <v>8074.9740899999997</v>
      </c>
      <c r="N36">
        <v>96.3</v>
      </c>
      <c r="P36">
        <f t="shared" si="3"/>
        <v>0.91124564310383527</v>
      </c>
    </row>
    <row r="37" spans="1:16" x14ac:dyDescent="0.25">
      <c r="A37">
        <v>29</v>
      </c>
      <c r="B37" t="s">
        <v>45</v>
      </c>
      <c r="C37" t="s">
        <v>16</v>
      </c>
      <c r="D37" s="1">
        <v>114071191</v>
      </c>
      <c r="E37" s="1">
        <v>83186426.025125995</v>
      </c>
      <c r="F37" s="1">
        <v>3207.1407039999999</v>
      </c>
      <c r="G37" t="s">
        <v>17</v>
      </c>
      <c r="H37" t="s">
        <v>17</v>
      </c>
      <c r="I37">
        <v>9630</v>
      </c>
      <c r="J37">
        <v>399</v>
      </c>
      <c r="K37" s="1">
        <v>37874</v>
      </c>
      <c r="L37" s="1">
        <v>11845.398858</v>
      </c>
      <c r="M37" s="1">
        <v>9106.0366099999992</v>
      </c>
      <c r="N37">
        <v>96.3</v>
      </c>
      <c r="P37">
        <f t="shared" si="3"/>
        <v>0.97999765933272165</v>
      </c>
    </row>
    <row r="38" spans="1:16" x14ac:dyDescent="0.25">
      <c r="A38">
        <v>30</v>
      </c>
      <c r="B38" t="s">
        <v>46</v>
      </c>
      <c r="C38" t="s">
        <v>16</v>
      </c>
      <c r="D38" s="1">
        <v>115418218</v>
      </c>
      <c r="E38" s="1">
        <v>80332232.447236001</v>
      </c>
      <c r="F38" s="1">
        <v>3643.4045230000002</v>
      </c>
      <c r="G38" t="s">
        <v>17</v>
      </c>
      <c r="H38" t="s">
        <v>17</v>
      </c>
      <c r="I38">
        <v>9630</v>
      </c>
      <c r="J38">
        <v>363</v>
      </c>
      <c r="K38" s="1">
        <v>38905</v>
      </c>
      <c r="L38" s="1">
        <v>11985.277050999999</v>
      </c>
      <c r="M38" s="1">
        <v>9655.0286400000005</v>
      </c>
      <c r="N38">
        <v>96.3</v>
      </c>
      <c r="P38">
        <f t="shared" si="3"/>
        <v>0.94637314678580886</v>
      </c>
    </row>
    <row r="39" spans="1:16" x14ac:dyDescent="0.25">
      <c r="A39">
        <v>31</v>
      </c>
      <c r="B39" t="s">
        <v>47</v>
      </c>
      <c r="C39" t="s">
        <v>16</v>
      </c>
      <c r="D39" s="1">
        <v>118066553</v>
      </c>
      <c r="E39" s="1">
        <v>80386540.638191</v>
      </c>
      <c r="F39" s="1">
        <v>3912.7738690000001</v>
      </c>
      <c r="G39" t="s">
        <v>17</v>
      </c>
      <c r="H39" t="s">
        <v>17</v>
      </c>
      <c r="I39">
        <v>9630</v>
      </c>
      <c r="J39">
        <v>307</v>
      </c>
      <c r="K39" s="1">
        <v>39707</v>
      </c>
      <c r="L39" s="1">
        <v>12260.285877</v>
      </c>
      <c r="M39" s="1">
        <v>10369.273383</v>
      </c>
      <c r="N39">
        <v>96.3</v>
      </c>
      <c r="P39">
        <f t="shared" si="3"/>
        <v>0.94701293746514892</v>
      </c>
    </row>
    <row r="40" spans="1:16" x14ac:dyDescent="0.25">
      <c r="A40">
        <v>32</v>
      </c>
      <c r="B40" t="s">
        <v>48</v>
      </c>
      <c r="C40" t="s">
        <v>16</v>
      </c>
      <c r="D40" s="1">
        <v>116550789</v>
      </c>
      <c r="E40" s="1">
        <v>81733983.723618001</v>
      </c>
      <c r="F40" s="1">
        <v>3615.4522609999999</v>
      </c>
      <c r="G40" t="s">
        <v>17</v>
      </c>
      <c r="H40" t="s">
        <v>17</v>
      </c>
      <c r="I40">
        <v>9630</v>
      </c>
      <c r="J40">
        <v>163</v>
      </c>
      <c r="K40" s="1">
        <v>38072</v>
      </c>
      <c r="L40" s="1">
        <v>12102.88567</v>
      </c>
      <c r="M40" s="1">
        <v>9842.3361100000002</v>
      </c>
      <c r="N40">
        <v>96.3</v>
      </c>
      <c r="P40">
        <f t="shared" si="3"/>
        <v>0.9628868141647402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selection activeCell="P15" sqref="P15:P22"/>
    </sheetView>
  </sheetViews>
  <sheetFormatPr defaultRowHeight="15" x14ac:dyDescent="0.25"/>
  <cols>
    <col min="4" max="4" width="16.28515625" customWidth="1"/>
    <col min="5" max="5" width="14" customWidth="1"/>
  </cols>
  <sheetData>
    <row r="1" spans="1:16" x14ac:dyDescent="0.25">
      <c r="A1" s="4" t="s">
        <v>55</v>
      </c>
    </row>
    <row r="3" spans="1:16" x14ac:dyDescent="0.25">
      <c r="A3" s="3" t="s">
        <v>53</v>
      </c>
    </row>
    <row r="4" spans="1:16" x14ac:dyDescent="0.25">
      <c r="A4" s="3" t="s">
        <v>54</v>
      </c>
    </row>
    <row r="5" spans="1:16" x14ac:dyDescent="0.25"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6" x14ac:dyDescent="0.25">
      <c r="A6" s="4" t="s">
        <v>1</v>
      </c>
      <c r="B6" s="4" t="s">
        <v>2</v>
      </c>
      <c r="C6" s="4" t="s">
        <v>3</v>
      </c>
      <c r="D6" s="4" t="s">
        <v>4</v>
      </c>
      <c r="E6" s="4" t="s">
        <v>5</v>
      </c>
      <c r="F6" s="4" t="s">
        <v>6</v>
      </c>
      <c r="G6" s="4" t="s">
        <v>7</v>
      </c>
      <c r="H6" s="4" t="s">
        <v>8</v>
      </c>
      <c r="I6" s="4" t="s">
        <v>9</v>
      </c>
      <c r="J6" s="4" t="s">
        <v>10</v>
      </c>
      <c r="K6" s="4" t="s">
        <v>11</v>
      </c>
      <c r="L6" s="4" t="s">
        <v>12</v>
      </c>
      <c r="M6" s="4" t="s">
        <v>13</v>
      </c>
      <c r="N6" s="4" t="s">
        <v>14</v>
      </c>
    </row>
    <row r="7" spans="1:16" x14ac:dyDescent="0.25">
      <c r="A7" s="4">
        <v>1</v>
      </c>
      <c r="B7" s="4" t="s">
        <v>15</v>
      </c>
      <c r="C7" s="4" t="s">
        <v>16</v>
      </c>
      <c r="D7" s="5">
        <v>186104953</v>
      </c>
      <c r="E7" s="5">
        <v>145710756.59296501</v>
      </c>
      <c r="F7" s="5">
        <v>4194.6206030000003</v>
      </c>
      <c r="G7" s="4" t="s">
        <v>17</v>
      </c>
      <c r="H7" s="4" t="s">
        <v>17</v>
      </c>
      <c r="I7" s="4">
        <v>9630</v>
      </c>
      <c r="J7" s="4">
        <v>328</v>
      </c>
      <c r="K7" s="5">
        <v>65533</v>
      </c>
      <c r="L7" s="5">
        <v>19325.540291000001</v>
      </c>
      <c r="M7" s="5">
        <v>16974.961697999999</v>
      </c>
      <c r="N7" s="4">
        <v>96.3</v>
      </c>
      <c r="P7">
        <f>E7/145710756.592965</f>
        <v>1</v>
      </c>
    </row>
    <row r="8" spans="1:16" x14ac:dyDescent="0.25">
      <c r="A8" s="4">
        <v>2</v>
      </c>
      <c r="B8" s="4" t="s">
        <v>18</v>
      </c>
      <c r="C8" s="4" t="s">
        <v>16</v>
      </c>
      <c r="D8" s="5">
        <v>144272685</v>
      </c>
      <c r="E8" s="5">
        <v>109842192.738693</v>
      </c>
      <c r="F8" s="5">
        <v>3575.336683</v>
      </c>
      <c r="G8" s="4" t="s">
        <v>17</v>
      </c>
      <c r="H8" s="4" t="s">
        <v>17</v>
      </c>
      <c r="I8" s="4">
        <v>9630</v>
      </c>
      <c r="J8" s="4">
        <v>406</v>
      </c>
      <c r="K8" s="5">
        <v>49667</v>
      </c>
      <c r="L8" s="5">
        <v>14981.587227</v>
      </c>
      <c r="M8" s="5">
        <v>12755.908905</v>
      </c>
      <c r="N8" s="4">
        <v>96.3</v>
      </c>
      <c r="P8" s="4">
        <f t="shared" ref="P8:P14" si="0">E8/145710756.592965</f>
        <v>0.7538372273059506</v>
      </c>
    </row>
    <row r="9" spans="1:16" x14ac:dyDescent="0.25">
      <c r="A9" s="4">
        <v>3</v>
      </c>
      <c r="B9" s="4" t="s">
        <v>19</v>
      </c>
      <c r="C9" s="4" t="s">
        <v>16</v>
      </c>
      <c r="D9" s="5">
        <v>139864959</v>
      </c>
      <c r="E9" s="5">
        <v>107933209.77889401</v>
      </c>
      <c r="F9" s="5">
        <v>3315.861809</v>
      </c>
      <c r="G9" s="4" t="s">
        <v>17</v>
      </c>
      <c r="H9" s="4" t="s">
        <v>17</v>
      </c>
      <c r="I9" s="4">
        <v>9630</v>
      </c>
      <c r="J9" s="4">
        <v>467</v>
      </c>
      <c r="K9" s="5">
        <v>49061</v>
      </c>
      <c r="L9" s="5">
        <v>14523.879439</v>
      </c>
      <c r="M9" s="5">
        <v>12272.203476999999</v>
      </c>
      <c r="N9" s="4">
        <v>96.3</v>
      </c>
      <c r="P9" s="4">
        <f t="shared" si="0"/>
        <v>0.74073604655282588</v>
      </c>
    </row>
    <row r="10" spans="1:16" x14ac:dyDescent="0.25">
      <c r="A10" s="4">
        <v>4</v>
      </c>
      <c r="B10" s="4" t="s">
        <v>20</v>
      </c>
      <c r="C10" s="4" t="s">
        <v>16</v>
      </c>
      <c r="D10" s="5">
        <v>141372406</v>
      </c>
      <c r="E10" s="5">
        <v>106041629.718593</v>
      </c>
      <c r="F10" s="5">
        <v>3668.8241210000001</v>
      </c>
      <c r="G10" s="4" t="s">
        <v>17</v>
      </c>
      <c r="H10" s="4" t="s">
        <v>17</v>
      </c>
      <c r="I10" s="4">
        <v>9630</v>
      </c>
      <c r="J10" s="4">
        <v>844</v>
      </c>
      <c r="K10" s="5">
        <v>49437</v>
      </c>
      <c r="L10" s="5">
        <v>14680.415992</v>
      </c>
      <c r="M10" s="5">
        <v>11761.448523999999</v>
      </c>
      <c r="N10" s="4">
        <v>96.3</v>
      </c>
      <c r="P10" s="4">
        <f t="shared" si="0"/>
        <v>0.7277543003555631</v>
      </c>
    </row>
    <row r="11" spans="1:16" x14ac:dyDescent="0.25">
      <c r="A11" s="4">
        <v>5</v>
      </c>
      <c r="B11" s="4" t="s">
        <v>21</v>
      </c>
      <c r="C11" s="4" t="s">
        <v>16</v>
      </c>
      <c r="D11" s="5">
        <v>133913252</v>
      </c>
      <c r="E11" s="5">
        <v>94912405.291456997</v>
      </c>
      <c r="F11" s="5">
        <v>4049.9321610000002</v>
      </c>
      <c r="G11" s="4" t="s">
        <v>17</v>
      </c>
      <c r="H11" s="4" t="s">
        <v>17</v>
      </c>
      <c r="I11" s="4">
        <v>9630</v>
      </c>
      <c r="J11" s="5">
        <v>1056</v>
      </c>
      <c r="K11" s="5">
        <v>44919</v>
      </c>
      <c r="L11" s="5">
        <v>13905.841329000001</v>
      </c>
      <c r="M11" s="5">
        <v>10895.800847</v>
      </c>
      <c r="N11" s="4">
        <v>96.3</v>
      </c>
      <c r="P11" s="4">
        <f t="shared" si="0"/>
        <v>0.65137542011801908</v>
      </c>
    </row>
    <row r="12" spans="1:16" x14ac:dyDescent="0.25">
      <c r="A12" s="4">
        <v>6</v>
      </c>
      <c r="B12" s="4" t="s">
        <v>22</v>
      </c>
      <c r="C12" s="4" t="s">
        <v>16</v>
      </c>
      <c r="D12" s="5">
        <v>114435373</v>
      </c>
      <c r="E12" s="5">
        <v>74090318.628141001</v>
      </c>
      <c r="F12" s="5">
        <v>4189.5175879999997</v>
      </c>
      <c r="G12" s="4" t="s">
        <v>17</v>
      </c>
      <c r="H12" s="4" t="s">
        <v>17</v>
      </c>
      <c r="I12" s="4">
        <v>9630</v>
      </c>
      <c r="J12" s="5">
        <v>1090</v>
      </c>
      <c r="K12" s="5">
        <v>34301</v>
      </c>
      <c r="L12" s="5">
        <v>11883.216302999999</v>
      </c>
      <c r="M12" s="5">
        <v>8344.6864839999998</v>
      </c>
      <c r="N12" s="4">
        <v>96.3</v>
      </c>
      <c r="P12" s="4">
        <f t="shared" si="0"/>
        <v>0.50847528597431024</v>
      </c>
    </row>
    <row r="13" spans="1:16" x14ac:dyDescent="0.25">
      <c r="A13" s="4">
        <v>7</v>
      </c>
      <c r="B13" s="4" t="s">
        <v>23</v>
      </c>
      <c r="C13" s="4" t="s">
        <v>16</v>
      </c>
      <c r="D13" s="5">
        <v>92180828</v>
      </c>
      <c r="E13" s="5">
        <v>52449577.246230997</v>
      </c>
      <c r="F13" s="5">
        <v>4125.778894</v>
      </c>
      <c r="G13" s="4" t="s">
        <v>17</v>
      </c>
      <c r="H13" s="4" t="s">
        <v>17</v>
      </c>
      <c r="I13" s="4">
        <v>9630</v>
      </c>
      <c r="J13" s="4">
        <v>891</v>
      </c>
      <c r="K13" s="5">
        <v>26380</v>
      </c>
      <c r="L13" s="5">
        <v>9572.2562820000003</v>
      </c>
      <c r="M13" s="5">
        <v>6217.5810739999997</v>
      </c>
      <c r="N13" s="4">
        <v>96.3</v>
      </c>
      <c r="P13" s="4">
        <f t="shared" si="0"/>
        <v>0.3599567971000659</v>
      </c>
    </row>
    <row r="14" spans="1:16" x14ac:dyDescent="0.25">
      <c r="A14" s="4">
        <v>8</v>
      </c>
      <c r="B14" s="4" t="s">
        <v>24</v>
      </c>
      <c r="C14" s="4" t="s">
        <v>16</v>
      </c>
      <c r="D14" s="5">
        <v>57710503</v>
      </c>
      <c r="E14" s="5">
        <v>21994260.562814001</v>
      </c>
      <c r="F14" s="5">
        <v>3708.8517590000001</v>
      </c>
      <c r="G14" s="4" t="s">
        <v>17</v>
      </c>
      <c r="H14" s="4" t="s">
        <v>17</v>
      </c>
      <c r="I14" s="4">
        <v>9630</v>
      </c>
      <c r="J14" s="4">
        <v>381</v>
      </c>
      <c r="K14" s="5">
        <v>16355</v>
      </c>
      <c r="L14" s="5">
        <v>5992.783281</v>
      </c>
      <c r="M14" s="5">
        <v>4239.4365159999998</v>
      </c>
      <c r="N14" s="4">
        <v>96.3</v>
      </c>
      <c r="P14" s="4">
        <f t="shared" si="0"/>
        <v>0.15094465966060255</v>
      </c>
    </row>
    <row r="15" spans="1:16" x14ac:dyDescent="0.25">
      <c r="A15" s="4">
        <v>9</v>
      </c>
      <c r="B15" s="4" t="s">
        <v>25</v>
      </c>
      <c r="C15" s="4" t="s">
        <v>16</v>
      </c>
      <c r="D15" s="5">
        <v>158550984</v>
      </c>
      <c r="E15" s="5">
        <v>119190609.22613101</v>
      </c>
      <c r="F15" s="5">
        <v>4087.2663320000001</v>
      </c>
      <c r="G15" s="4" t="s">
        <v>17</v>
      </c>
      <c r="H15" s="4" t="s">
        <v>17</v>
      </c>
      <c r="I15" s="4">
        <v>9630</v>
      </c>
      <c r="J15" s="5">
        <v>1059</v>
      </c>
      <c r="K15" s="5">
        <v>52406</v>
      </c>
      <c r="L15" s="5">
        <v>16464.276635999999</v>
      </c>
      <c r="M15" s="5">
        <v>12478.209478000001</v>
      </c>
      <c r="N15" s="4">
        <v>96.3</v>
      </c>
      <c r="P15">
        <f>E15/119190609.226131</f>
        <v>1</v>
      </c>
    </row>
    <row r="16" spans="1:16" x14ac:dyDescent="0.25">
      <c r="A16" s="4">
        <v>10</v>
      </c>
      <c r="B16" s="4" t="s">
        <v>26</v>
      </c>
      <c r="C16" s="4" t="s">
        <v>16</v>
      </c>
      <c r="D16" s="5">
        <v>138447658</v>
      </c>
      <c r="E16" s="5">
        <v>99869103.728643</v>
      </c>
      <c r="F16" s="5">
        <v>4006.080402</v>
      </c>
      <c r="G16" s="4" t="s">
        <v>17</v>
      </c>
      <c r="H16" s="4" t="s">
        <v>17</v>
      </c>
      <c r="I16" s="4">
        <v>9630</v>
      </c>
      <c r="J16" s="5">
        <v>1302</v>
      </c>
      <c r="K16" s="5">
        <v>44368</v>
      </c>
      <c r="L16" s="5">
        <v>14376.703842000001</v>
      </c>
      <c r="M16" s="5">
        <v>10275.194912999999</v>
      </c>
      <c r="N16" s="4">
        <v>96.3</v>
      </c>
      <c r="P16" s="4">
        <f t="shared" ref="P16:P22" si="1">E16/119190609.226131</f>
        <v>0.83789406209988548</v>
      </c>
    </row>
    <row r="17" spans="1:16" x14ac:dyDescent="0.25">
      <c r="A17" s="4">
        <v>11</v>
      </c>
      <c r="B17" s="4" t="s">
        <v>27</v>
      </c>
      <c r="C17" s="4" t="s">
        <v>16</v>
      </c>
      <c r="D17" s="5">
        <v>134172157</v>
      </c>
      <c r="E17" s="5">
        <v>97922877.125627995</v>
      </c>
      <c r="F17" s="5">
        <v>3764.2035179999998</v>
      </c>
      <c r="G17" s="4" t="s">
        <v>17</v>
      </c>
      <c r="H17" s="4" t="s">
        <v>17</v>
      </c>
      <c r="I17" s="4">
        <v>9630</v>
      </c>
      <c r="J17" s="5">
        <v>1132</v>
      </c>
      <c r="K17" s="5">
        <v>42218</v>
      </c>
      <c r="L17" s="5">
        <v>13932.726584</v>
      </c>
      <c r="M17" s="5">
        <v>10320.097995</v>
      </c>
      <c r="N17" s="4">
        <v>96.3</v>
      </c>
      <c r="P17" s="4">
        <f t="shared" si="1"/>
        <v>0.8215653713108102</v>
      </c>
    </row>
    <row r="18" spans="1:16" x14ac:dyDescent="0.25">
      <c r="A18" s="4">
        <v>12</v>
      </c>
      <c r="B18" s="4" t="s">
        <v>28</v>
      </c>
      <c r="C18" s="4" t="s">
        <v>16</v>
      </c>
      <c r="D18" s="5">
        <v>135292813</v>
      </c>
      <c r="E18" s="5">
        <v>99929735.085427001</v>
      </c>
      <c r="F18" s="5">
        <v>3672.1783919999998</v>
      </c>
      <c r="G18" s="4" t="s">
        <v>17</v>
      </c>
      <c r="H18" s="4" t="s">
        <v>17</v>
      </c>
      <c r="I18" s="4">
        <v>9630</v>
      </c>
      <c r="J18" s="4">
        <v>934</v>
      </c>
      <c r="K18" s="5">
        <v>42866</v>
      </c>
      <c r="L18" s="5">
        <v>14049.097922999999</v>
      </c>
      <c r="M18" s="5">
        <v>10439.322274</v>
      </c>
      <c r="N18" s="4">
        <v>96.3</v>
      </c>
      <c r="P18" s="4">
        <f t="shared" si="1"/>
        <v>0.83840275449753043</v>
      </c>
    </row>
    <row r="19" spans="1:16" x14ac:dyDescent="0.25">
      <c r="A19" s="4">
        <v>13</v>
      </c>
      <c r="B19" s="4" t="s">
        <v>29</v>
      </c>
      <c r="C19" s="4" t="s">
        <v>16</v>
      </c>
      <c r="D19" s="5">
        <v>136777020</v>
      </c>
      <c r="E19" s="5">
        <v>98229557.562813997</v>
      </c>
      <c r="F19" s="5">
        <v>4002.8517590000001</v>
      </c>
      <c r="G19" s="4" t="s">
        <v>17</v>
      </c>
      <c r="H19" s="4" t="s">
        <v>17</v>
      </c>
      <c r="I19" s="4">
        <v>9630</v>
      </c>
      <c r="J19" s="4">
        <v>890</v>
      </c>
      <c r="K19" s="5">
        <v>44943</v>
      </c>
      <c r="L19" s="5">
        <v>14203.221184</v>
      </c>
      <c r="M19" s="5">
        <v>10885.859574</v>
      </c>
      <c r="N19" s="4">
        <v>96.3</v>
      </c>
      <c r="P19" s="4">
        <f t="shared" si="1"/>
        <v>0.82413839647761811</v>
      </c>
    </row>
    <row r="20" spans="1:16" x14ac:dyDescent="0.25">
      <c r="A20" s="4">
        <v>14</v>
      </c>
      <c r="B20" s="4" t="s">
        <v>30</v>
      </c>
      <c r="C20" s="4" t="s">
        <v>16</v>
      </c>
      <c r="D20" s="5">
        <v>118629444</v>
      </c>
      <c r="E20" s="5">
        <v>82163900.457286</v>
      </c>
      <c r="F20" s="5">
        <v>3786.6608040000001</v>
      </c>
      <c r="G20" s="4" t="s">
        <v>17</v>
      </c>
      <c r="H20" s="4" t="s">
        <v>17</v>
      </c>
      <c r="I20" s="4">
        <v>9630</v>
      </c>
      <c r="J20" s="4">
        <v>889</v>
      </c>
      <c r="K20" s="5">
        <v>38780</v>
      </c>
      <c r="L20" s="5">
        <v>12318.737695</v>
      </c>
      <c r="M20" s="5">
        <v>9219.6307350000006</v>
      </c>
      <c r="N20" s="4">
        <v>96.3</v>
      </c>
      <c r="P20" s="4">
        <f t="shared" si="1"/>
        <v>0.68934877496433355</v>
      </c>
    </row>
    <row r="21" spans="1:16" x14ac:dyDescent="0.25">
      <c r="A21" s="4">
        <v>15</v>
      </c>
      <c r="B21" s="4" t="s">
        <v>31</v>
      </c>
      <c r="C21" s="4" t="s">
        <v>16</v>
      </c>
      <c r="D21" s="5">
        <v>92714363</v>
      </c>
      <c r="E21" s="5">
        <v>58545429.281406999</v>
      </c>
      <c r="F21" s="5">
        <v>3548.1758789999999</v>
      </c>
      <c r="G21" s="4" t="s">
        <v>17</v>
      </c>
      <c r="H21" s="4" t="s">
        <v>17</v>
      </c>
      <c r="I21" s="4">
        <v>9630</v>
      </c>
      <c r="J21" s="4">
        <v>647</v>
      </c>
      <c r="K21" s="5">
        <v>28969</v>
      </c>
      <c r="L21" s="5">
        <v>9627.6597089999996</v>
      </c>
      <c r="M21" s="5">
        <v>6852.9241499999998</v>
      </c>
      <c r="N21" s="4">
        <v>96.3</v>
      </c>
      <c r="P21" s="4">
        <f t="shared" si="1"/>
        <v>0.491191627104895</v>
      </c>
    </row>
    <row r="22" spans="1:16" x14ac:dyDescent="0.25">
      <c r="A22" s="4">
        <v>16</v>
      </c>
      <c r="B22" s="4" t="s">
        <v>32</v>
      </c>
      <c r="C22" s="4" t="s">
        <v>16</v>
      </c>
      <c r="D22" s="5">
        <v>59530156</v>
      </c>
      <c r="E22" s="5">
        <v>26352628.361809</v>
      </c>
      <c r="F22" s="5">
        <v>3445.2261309999999</v>
      </c>
      <c r="G22" s="4" t="s">
        <v>17</v>
      </c>
      <c r="H22" s="4" t="s">
        <v>17</v>
      </c>
      <c r="I22" s="4">
        <v>9630</v>
      </c>
      <c r="J22" s="4">
        <v>310</v>
      </c>
      <c r="K22" s="5">
        <v>16229</v>
      </c>
      <c r="L22" s="5">
        <v>6181.7399789999999</v>
      </c>
      <c r="M22" s="5">
        <v>4362.2823109999999</v>
      </c>
      <c r="N22" s="4">
        <v>96.3</v>
      </c>
      <c r="P22" s="4">
        <f t="shared" si="1"/>
        <v>0.22109651534553551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31"/>
  <sheetViews>
    <sheetView workbookViewId="0">
      <selection activeCell="A3" sqref="A3:A5"/>
    </sheetView>
  </sheetViews>
  <sheetFormatPr defaultRowHeight="15" x14ac:dyDescent="0.25"/>
  <cols>
    <col min="4" max="4" width="14.28515625" customWidth="1"/>
    <col min="5" max="5" width="18.42578125" customWidth="1"/>
  </cols>
  <sheetData>
    <row r="1" spans="1:16" x14ac:dyDescent="0.25">
      <c r="A1" s="6" t="s">
        <v>56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</row>
    <row r="2" spans="1:16" s="6" customFormat="1" x14ac:dyDescent="0.25"/>
    <row r="3" spans="1:16" s="6" customFormat="1" x14ac:dyDescent="0.25">
      <c r="A3" s="3" t="s">
        <v>57</v>
      </c>
    </row>
    <row r="4" spans="1:16" s="6" customFormat="1" x14ac:dyDescent="0.25">
      <c r="A4" s="3" t="s">
        <v>58</v>
      </c>
    </row>
    <row r="5" spans="1:16" s="6" customFormat="1" x14ac:dyDescent="0.25">
      <c r="A5" s="3" t="s">
        <v>59</v>
      </c>
    </row>
    <row r="6" spans="1:16" s="6" customFormat="1" x14ac:dyDescent="0.25"/>
    <row r="7" spans="1:16" x14ac:dyDescent="0.25">
      <c r="A7" s="6" t="s">
        <v>1</v>
      </c>
      <c r="B7" s="6" t="s">
        <v>2</v>
      </c>
      <c r="C7" s="6" t="s">
        <v>3</v>
      </c>
      <c r="D7" s="6" t="s">
        <v>4</v>
      </c>
      <c r="E7" s="6" t="s">
        <v>5</v>
      </c>
      <c r="F7" s="6" t="s">
        <v>6</v>
      </c>
      <c r="G7" s="6" t="s">
        <v>7</v>
      </c>
      <c r="H7" s="6" t="s">
        <v>8</v>
      </c>
      <c r="I7" s="6" t="s">
        <v>9</v>
      </c>
      <c r="J7" s="6" t="s">
        <v>10</v>
      </c>
      <c r="K7" s="6" t="s">
        <v>11</v>
      </c>
      <c r="L7" s="6" t="s">
        <v>12</v>
      </c>
      <c r="M7" s="6" t="s">
        <v>13</v>
      </c>
      <c r="N7" s="6" t="s">
        <v>14</v>
      </c>
    </row>
    <row r="8" spans="1:16" x14ac:dyDescent="0.25">
      <c r="A8" s="6">
        <v>1</v>
      </c>
      <c r="B8" s="6" t="s">
        <v>15</v>
      </c>
      <c r="C8" s="6" t="s">
        <v>16</v>
      </c>
      <c r="D8" s="7">
        <v>105051051</v>
      </c>
      <c r="E8" s="7">
        <v>71359382.984925002</v>
      </c>
      <c r="F8" s="7">
        <v>3498.6155779999999</v>
      </c>
      <c r="G8" s="6" t="s">
        <v>17</v>
      </c>
      <c r="H8" s="6" t="s">
        <v>17</v>
      </c>
      <c r="I8" s="6">
        <v>9630</v>
      </c>
      <c r="J8" s="6">
        <v>289</v>
      </c>
      <c r="K8" s="7">
        <v>38918</v>
      </c>
      <c r="L8" s="7">
        <v>10908.728037000001</v>
      </c>
      <c r="M8" s="7">
        <v>10059.619304</v>
      </c>
      <c r="N8" s="6">
        <v>96.3</v>
      </c>
      <c r="P8">
        <f>E8/71359382.984925</f>
        <v>1</v>
      </c>
    </row>
    <row r="9" spans="1:16" x14ac:dyDescent="0.25">
      <c r="A9" s="6">
        <v>2</v>
      </c>
      <c r="B9" s="6" t="s">
        <v>18</v>
      </c>
      <c r="C9" s="6" t="s">
        <v>16</v>
      </c>
      <c r="D9" s="7">
        <v>126163368</v>
      </c>
      <c r="E9" s="7">
        <v>90365730.286431998</v>
      </c>
      <c r="F9" s="7">
        <v>3717.30402</v>
      </c>
      <c r="G9" s="6" t="s">
        <v>17</v>
      </c>
      <c r="H9" s="6" t="s">
        <v>17</v>
      </c>
      <c r="I9" s="6">
        <v>9630</v>
      </c>
      <c r="J9" s="6">
        <v>311</v>
      </c>
      <c r="K9" s="7">
        <v>45291</v>
      </c>
      <c r="L9" s="7">
        <v>13101.076636</v>
      </c>
      <c r="M9" s="7">
        <v>11635.500314000001</v>
      </c>
      <c r="N9" s="6">
        <v>96.3</v>
      </c>
      <c r="P9" s="6">
        <f t="shared" ref="P9:P15" si="0">E9/71359382.984925</f>
        <v>1.266346855963177</v>
      </c>
    </row>
    <row r="10" spans="1:16" x14ac:dyDescent="0.25">
      <c r="A10" s="6">
        <v>3</v>
      </c>
      <c r="B10" s="6" t="s">
        <v>19</v>
      </c>
      <c r="C10" s="6" t="s">
        <v>16</v>
      </c>
      <c r="D10" s="7">
        <v>144630737</v>
      </c>
      <c r="E10" s="7">
        <v>107730488.482412</v>
      </c>
      <c r="F10" s="7">
        <v>3831.801508</v>
      </c>
      <c r="G10" s="6" t="s">
        <v>17</v>
      </c>
      <c r="H10" s="6" t="s">
        <v>17</v>
      </c>
      <c r="I10" s="6">
        <v>9630</v>
      </c>
      <c r="J10" s="6">
        <v>791</v>
      </c>
      <c r="K10" s="7">
        <v>50835</v>
      </c>
      <c r="L10" s="7">
        <v>15018.768120000001</v>
      </c>
      <c r="M10" s="7">
        <v>12044.652466</v>
      </c>
      <c r="N10" s="6">
        <v>96.3</v>
      </c>
      <c r="P10" s="6">
        <f t="shared" si="0"/>
        <v>1.5096891813816631</v>
      </c>
    </row>
    <row r="11" spans="1:16" x14ac:dyDescent="0.25">
      <c r="A11" s="6">
        <v>4</v>
      </c>
      <c r="B11" s="6" t="s">
        <v>20</v>
      </c>
      <c r="C11" s="6" t="s">
        <v>16</v>
      </c>
      <c r="D11" s="7">
        <v>133983241</v>
      </c>
      <c r="E11" s="7">
        <v>95492687.507538006</v>
      </c>
      <c r="F11" s="7">
        <v>3996.942211</v>
      </c>
      <c r="G11" s="6" t="s">
        <v>17</v>
      </c>
      <c r="H11" s="6" t="s">
        <v>17</v>
      </c>
      <c r="I11" s="6">
        <v>9630</v>
      </c>
      <c r="J11" s="6">
        <v>291</v>
      </c>
      <c r="K11" s="7">
        <v>47465</v>
      </c>
      <c r="L11" s="7">
        <v>13913.109138</v>
      </c>
      <c r="M11" s="7">
        <v>11866.92208</v>
      </c>
      <c r="N11" s="6">
        <v>96.3</v>
      </c>
      <c r="P11" s="6">
        <f t="shared" si="0"/>
        <v>1.3381938508032121</v>
      </c>
    </row>
    <row r="12" spans="1:16" x14ac:dyDescent="0.25">
      <c r="A12" s="6">
        <v>5</v>
      </c>
      <c r="B12" s="6" t="s">
        <v>21</v>
      </c>
      <c r="C12" s="6" t="s">
        <v>16</v>
      </c>
      <c r="D12" s="7">
        <v>137127069</v>
      </c>
      <c r="E12" s="7">
        <v>101403809.728643</v>
      </c>
      <c r="F12" s="7">
        <v>3709.580402</v>
      </c>
      <c r="G12" s="6" t="s">
        <v>17</v>
      </c>
      <c r="H12" s="6" t="s">
        <v>17</v>
      </c>
      <c r="I12" s="6">
        <v>9630</v>
      </c>
      <c r="J12" s="6">
        <v>725</v>
      </c>
      <c r="K12" s="7">
        <v>47399</v>
      </c>
      <c r="L12" s="7">
        <v>14239.571028</v>
      </c>
      <c r="M12" s="7">
        <v>11391.489274</v>
      </c>
      <c r="N12" s="6">
        <v>96.3</v>
      </c>
      <c r="P12" s="6">
        <f t="shared" si="0"/>
        <v>1.421029799964288</v>
      </c>
    </row>
    <row r="13" spans="1:16" x14ac:dyDescent="0.25">
      <c r="A13" s="6">
        <v>6</v>
      </c>
      <c r="B13" s="6" t="s">
        <v>22</v>
      </c>
      <c r="C13" s="6" t="s">
        <v>16</v>
      </c>
      <c r="D13" s="7">
        <v>113916751</v>
      </c>
      <c r="E13" s="7">
        <v>73578616.678391993</v>
      </c>
      <c r="F13" s="7">
        <v>4188.7989950000001</v>
      </c>
      <c r="G13" s="6" t="s">
        <v>17</v>
      </c>
      <c r="H13" s="6" t="s">
        <v>17</v>
      </c>
      <c r="I13" s="6">
        <v>9630</v>
      </c>
      <c r="J13" s="6">
        <v>508</v>
      </c>
      <c r="K13" s="7">
        <v>35284</v>
      </c>
      <c r="L13" s="7">
        <v>11829.361475</v>
      </c>
      <c r="M13" s="7">
        <v>8409.7455150000005</v>
      </c>
      <c r="N13" s="6">
        <v>96.3</v>
      </c>
      <c r="P13" s="6">
        <f t="shared" si="0"/>
        <v>1.0310993957716228</v>
      </c>
    </row>
    <row r="14" spans="1:16" x14ac:dyDescent="0.25">
      <c r="A14" s="6">
        <v>7</v>
      </c>
      <c r="B14" s="6" t="s">
        <v>23</v>
      </c>
      <c r="C14" s="6" t="s">
        <v>16</v>
      </c>
      <c r="D14" s="7">
        <v>75936560</v>
      </c>
      <c r="E14" s="7">
        <v>41888388.417084999</v>
      </c>
      <c r="F14" s="7">
        <v>3535.6356780000001</v>
      </c>
      <c r="G14" s="6" t="s">
        <v>17</v>
      </c>
      <c r="H14" s="6" t="s">
        <v>17</v>
      </c>
      <c r="I14" s="6">
        <v>9630</v>
      </c>
      <c r="J14" s="6">
        <v>937</v>
      </c>
      <c r="K14" s="7">
        <v>21172</v>
      </c>
      <c r="L14" s="7">
        <v>7885.4164069999997</v>
      </c>
      <c r="M14" s="7">
        <v>4621.7829419999998</v>
      </c>
      <c r="N14" s="6">
        <v>96.3</v>
      </c>
      <c r="P14" s="6">
        <f t="shared" si="0"/>
        <v>0.58700603431414355</v>
      </c>
    </row>
    <row r="15" spans="1:16" x14ac:dyDescent="0.25">
      <c r="A15" s="6">
        <v>8</v>
      </c>
      <c r="B15" s="6" t="s">
        <v>24</v>
      </c>
      <c r="C15" s="6" t="s">
        <v>16</v>
      </c>
      <c r="D15" s="7">
        <v>31852702</v>
      </c>
      <c r="E15" s="7">
        <v>7592312.4020100003</v>
      </c>
      <c r="F15" s="7">
        <v>2519.251256</v>
      </c>
      <c r="G15" s="6" t="s">
        <v>17</v>
      </c>
      <c r="H15" s="6" t="s">
        <v>17</v>
      </c>
      <c r="I15" s="6">
        <v>9630</v>
      </c>
      <c r="J15" s="6">
        <v>120</v>
      </c>
      <c r="K15" s="7">
        <v>9901</v>
      </c>
      <c r="L15" s="7">
        <v>3307.6533749999999</v>
      </c>
      <c r="M15" s="7">
        <v>2002.3194410000001</v>
      </c>
      <c r="N15" s="6">
        <v>96.3</v>
      </c>
      <c r="P15" s="6">
        <f t="shared" si="0"/>
        <v>0.10639543230935603</v>
      </c>
    </row>
    <row r="16" spans="1:16" x14ac:dyDescent="0.25">
      <c r="A16" s="6">
        <v>9</v>
      </c>
      <c r="B16" s="6" t="s">
        <v>25</v>
      </c>
      <c r="C16" s="6" t="s">
        <v>16</v>
      </c>
      <c r="D16" s="7">
        <v>174937412</v>
      </c>
      <c r="E16" s="7">
        <v>125103444.386935</v>
      </c>
      <c r="F16" s="7">
        <v>5174.8668340000004</v>
      </c>
      <c r="G16" s="6" t="s">
        <v>17</v>
      </c>
      <c r="H16" s="6" t="s">
        <v>17</v>
      </c>
      <c r="I16" s="6">
        <v>9630</v>
      </c>
      <c r="J16" s="6">
        <v>419</v>
      </c>
      <c r="K16" s="7">
        <v>51402</v>
      </c>
      <c r="L16" s="7">
        <v>18165.878712000002</v>
      </c>
      <c r="M16" s="7">
        <v>12692.71552</v>
      </c>
      <c r="N16" s="6">
        <v>96.3</v>
      </c>
      <c r="P16">
        <f>E16/125103444.386935</f>
        <v>1</v>
      </c>
    </row>
    <row r="17" spans="1:16" x14ac:dyDescent="0.25">
      <c r="A17" s="6">
        <v>10</v>
      </c>
      <c r="B17" s="6" t="s">
        <v>26</v>
      </c>
      <c r="C17" s="6" t="s">
        <v>16</v>
      </c>
      <c r="D17" s="7">
        <v>164374272</v>
      </c>
      <c r="E17" s="7">
        <v>100310067.904523</v>
      </c>
      <c r="F17" s="7">
        <v>6652.5653270000003</v>
      </c>
      <c r="G17" s="6" t="s">
        <v>17</v>
      </c>
      <c r="H17" s="6" t="s">
        <v>17</v>
      </c>
      <c r="I17" s="6">
        <v>9630</v>
      </c>
      <c r="J17" s="6">
        <v>730</v>
      </c>
      <c r="K17" s="7">
        <v>45126</v>
      </c>
      <c r="L17" s="7">
        <v>17068.979438999999</v>
      </c>
      <c r="M17" s="7">
        <v>10698.102948</v>
      </c>
      <c r="N17" s="6">
        <v>96.3</v>
      </c>
      <c r="P17" s="6">
        <f t="shared" ref="P17:P23" si="1">E17/125103444.386935</f>
        <v>0.80181699549591889</v>
      </c>
    </row>
    <row r="18" spans="1:16" x14ac:dyDescent="0.25">
      <c r="A18" s="6">
        <v>11</v>
      </c>
      <c r="B18" s="6" t="s">
        <v>27</v>
      </c>
      <c r="C18" s="6" t="s">
        <v>16</v>
      </c>
      <c r="D18" s="7">
        <v>164778448</v>
      </c>
      <c r="E18" s="7">
        <v>105603646.542714</v>
      </c>
      <c r="F18" s="7">
        <v>6144.8391959999999</v>
      </c>
      <c r="G18" s="6" t="s">
        <v>17</v>
      </c>
      <c r="H18" s="6" t="s">
        <v>17</v>
      </c>
      <c r="I18" s="6">
        <v>9630</v>
      </c>
      <c r="J18" s="6">
        <v>860</v>
      </c>
      <c r="K18" s="7">
        <v>46178</v>
      </c>
      <c r="L18" s="7">
        <v>17110.949948000001</v>
      </c>
      <c r="M18" s="7">
        <v>11491.946911999999</v>
      </c>
      <c r="N18" s="6">
        <v>96.3</v>
      </c>
      <c r="P18" s="6">
        <f t="shared" si="1"/>
        <v>0.8441306077560129</v>
      </c>
    </row>
    <row r="19" spans="1:16" x14ac:dyDescent="0.25">
      <c r="A19" s="6">
        <v>12</v>
      </c>
      <c r="B19" s="6" t="s">
        <v>28</v>
      </c>
      <c r="C19" s="6" t="s">
        <v>16</v>
      </c>
      <c r="D19" s="7">
        <v>153908374</v>
      </c>
      <c r="E19" s="7">
        <v>104809577.04020099</v>
      </c>
      <c r="F19" s="7">
        <v>5098.5251260000005</v>
      </c>
      <c r="G19" s="6" t="s">
        <v>17</v>
      </c>
      <c r="H19" s="6" t="s">
        <v>17</v>
      </c>
      <c r="I19" s="6">
        <v>9630</v>
      </c>
      <c r="J19" s="6">
        <v>808</v>
      </c>
      <c r="K19" s="7">
        <v>47885</v>
      </c>
      <c r="L19" s="7">
        <v>15982.177985</v>
      </c>
      <c r="M19" s="7">
        <v>11526.478724000001</v>
      </c>
      <c r="N19" s="6">
        <v>96.3</v>
      </c>
      <c r="P19" s="6">
        <f t="shared" si="1"/>
        <v>0.83778330447907823</v>
      </c>
    </row>
    <row r="20" spans="1:16" x14ac:dyDescent="0.25">
      <c r="A20" s="6">
        <v>13</v>
      </c>
      <c r="B20" s="6" t="s">
        <v>29</v>
      </c>
      <c r="C20" s="6" t="s">
        <v>16</v>
      </c>
      <c r="D20" s="7">
        <v>162423374</v>
      </c>
      <c r="E20" s="7">
        <v>120389972.542714</v>
      </c>
      <c r="F20" s="7">
        <v>4364.8391959999999</v>
      </c>
      <c r="G20" s="6" t="s">
        <v>17</v>
      </c>
      <c r="H20" s="6" t="s">
        <v>17</v>
      </c>
      <c r="I20" s="6">
        <v>9630</v>
      </c>
      <c r="J20" s="7">
        <v>1049</v>
      </c>
      <c r="K20" s="7">
        <v>52025</v>
      </c>
      <c r="L20" s="7">
        <v>16866.393977</v>
      </c>
      <c r="M20" s="7">
        <v>12779.883387</v>
      </c>
      <c r="N20" s="6">
        <v>96.3</v>
      </c>
      <c r="P20" s="6">
        <f t="shared" si="1"/>
        <v>0.96232340470464905</v>
      </c>
    </row>
    <row r="21" spans="1:16" x14ac:dyDescent="0.25">
      <c r="A21" s="6">
        <v>14</v>
      </c>
      <c r="B21" s="6" t="s">
        <v>30</v>
      </c>
      <c r="C21" s="6" t="s">
        <v>16</v>
      </c>
      <c r="D21" s="7">
        <v>169207803</v>
      </c>
      <c r="E21" s="7">
        <v>130266647.77386899</v>
      </c>
      <c r="F21" s="7">
        <v>4043.7336679999999</v>
      </c>
      <c r="G21" s="6" t="s">
        <v>17</v>
      </c>
      <c r="H21" s="6" t="s">
        <v>17</v>
      </c>
      <c r="I21" s="6">
        <v>9630</v>
      </c>
      <c r="J21" s="6">
        <v>783</v>
      </c>
      <c r="K21" s="7">
        <v>58167</v>
      </c>
      <c r="L21" s="7">
        <v>17570.903738000001</v>
      </c>
      <c r="M21" s="7">
        <v>14356.941054999999</v>
      </c>
      <c r="N21" s="6">
        <v>96.3</v>
      </c>
      <c r="P21" s="6">
        <f t="shared" si="1"/>
        <v>1.0412714726779593</v>
      </c>
    </row>
    <row r="22" spans="1:16" x14ac:dyDescent="0.25">
      <c r="A22" s="6">
        <v>15</v>
      </c>
      <c r="B22" s="6" t="s">
        <v>31</v>
      </c>
      <c r="C22" s="6" t="s">
        <v>16</v>
      </c>
      <c r="D22" s="7">
        <v>177409699</v>
      </c>
      <c r="E22" s="7">
        <v>138001851.713568</v>
      </c>
      <c r="F22" s="7">
        <v>4092.19598</v>
      </c>
      <c r="G22" s="6" t="s">
        <v>17</v>
      </c>
      <c r="H22" s="6" t="s">
        <v>17</v>
      </c>
      <c r="I22" s="6">
        <v>9630</v>
      </c>
      <c r="J22" s="6">
        <v>257</v>
      </c>
      <c r="K22" s="7">
        <v>65534</v>
      </c>
      <c r="L22" s="7">
        <v>18422.606334</v>
      </c>
      <c r="M22" s="7">
        <v>16091.762121</v>
      </c>
      <c r="N22" s="6">
        <v>96.3</v>
      </c>
      <c r="P22" s="6">
        <f t="shared" si="1"/>
        <v>1.1031019360805068</v>
      </c>
    </row>
    <row r="23" spans="1:16" x14ac:dyDescent="0.25">
      <c r="A23" s="6">
        <v>16</v>
      </c>
      <c r="B23" s="6" t="s">
        <v>32</v>
      </c>
      <c r="C23" s="6" t="s">
        <v>16</v>
      </c>
      <c r="D23" s="7">
        <v>156469215</v>
      </c>
      <c r="E23" s="7">
        <v>123953326.432161</v>
      </c>
      <c r="F23" s="7">
        <v>3376.5201010000001</v>
      </c>
      <c r="G23" s="6" t="s">
        <v>17</v>
      </c>
      <c r="H23" s="6" t="s">
        <v>17</v>
      </c>
      <c r="I23" s="6">
        <v>9630</v>
      </c>
      <c r="J23" s="6">
        <v>137</v>
      </c>
      <c r="K23" s="7">
        <v>62996</v>
      </c>
      <c r="L23" s="7">
        <v>16248.101246</v>
      </c>
      <c r="M23" s="7">
        <v>15494.426380999999</v>
      </c>
      <c r="N23" s="6">
        <v>96.3</v>
      </c>
      <c r="P23" s="6">
        <f t="shared" si="1"/>
        <v>0.99080666435356668</v>
      </c>
    </row>
    <row r="24" spans="1:16" x14ac:dyDescent="0.25">
      <c r="A24" s="6">
        <v>17</v>
      </c>
      <c r="B24" s="6" t="s">
        <v>33</v>
      </c>
      <c r="C24" s="6" t="s">
        <v>16</v>
      </c>
      <c r="D24" s="7">
        <v>86417809</v>
      </c>
      <c r="E24" s="7">
        <v>67155582.969849005</v>
      </c>
      <c r="F24" s="7">
        <v>2000.2311560000001</v>
      </c>
      <c r="G24" s="6" t="s">
        <v>17</v>
      </c>
      <c r="H24" s="6" t="s">
        <v>17</v>
      </c>
      <c r="I24" s="6">
        <v>9630</v>
      </c>
      <c r="J24" s="6">
        <v>197</v>
      </c>
      <c r="K24" s="7">
        <v>32841</v>
      </c>
      <c r="L24" s="7">
        <v>8973.8119420000003</v>
      </c>
      <c r="M24" s="7">
        <v>8372.5039300000008</v>
      </c>
      <c r="N24" s="6">
        <v>96.3</v>
      </c>
      <c r="P24">
        <f>E24/67155582.969849</f>
        <v>1</v>
      </c>
    </row>
    <row r="25" spans="1:16" x14ac:dyDescent="0.25">
      <c r="A25" s="6">
        <v>18</v>
      </c>
      <c r="B25" s="6" t="s">
        <v>34</v>
      </c>
      <c r="C25" s="6" t="s">
        <v>16</v>
      </c>
      <c r="D25" s="7">
        <v>69006976</v>
      </c>
      <c r="E25" s="7">
        <v>52710112.482412003</v>
      </c>
      <c r="F25" s="7">
        <v>1692.301508</v>
      </c>
      <c r="G25" s="6" t="s">
        <v>17</v>
      </c>
      <c r="H25" s="6" t="s">
        <v>17</v>
      </c>
      <c r="I25" s="6">
        <v>9630</v>
      </c>
      <c r="J25" s="6">
        <v>271</v>
      </c>
      <c r="K25" s="7">
        <v>25829</v>
      </c>
      <c r="L25" s="7">
        <v>7165.8334370000002</v>
      </c>
      <c r="M25" s="7">
        <v>6256.0408619999998</v>
      </c>
      <c r="N25" s="6">
        <v>96.3</v>
      </c>
      <c r="P25" s="6">
        <f t="shared" ref="P25:P31" si="2">E25/67155582.969849</f>
        <v>0.78489546440356839</v>
      </c>
    </row>
    <row r="26" spans="1:16" x14ac:dyDescent="0.25">
      <c r="A26" s="6">
        <v>19</v>
      </c>
      <c r="B26" s="6" t="s">
        <v>35</v>
      </c>
      <c r="C26" s="6" t="s">
        <v>16</v>
      </c>
      <c r="D26" s="7">
        <v>72470584</v>
      </c>
      <c r="E26" s="7">
        <v>53587871.914572999</v>
      </c>
      <c r="F26" s="7">
        <v>1960.821608</v>
      </c>
      <c r="G26" s="6" t="s">
        <v>17</v>
      </c>
      <c r="H26" s="6" t="s">
        <v>17</v>
      </c>
      <c r="I26" s="6">
        <v>9630</v>
      </c>
      <c r="J26" s="6">
        <v>285</v>
      </c>
      <c r="K26" s="7">
        <v>26096</v>
      </c>
      <c r="L26" s="7">
        <v>7525.5019730000004</v>
      </c>
      <c r="M26" s="7">
        <v>6435.5029530000002</v>
      </c>
      <c r="N26" s="6">
        <v>96.3</v>
      </c>
      <c r="P26" s="6">
        <f t="shared" si="2"/>
        <v>0.79796599991742256</v>
      </c>
    </row>
    <row r="27" spans="1:16" x14ac:dyDescent="0.25">
      <c r="A27" s="6">
        <v>20</v>
      </c>
      <c r="B27" s="6" t="s">
        <v>36</v>
      </c>
      <c r="C27" s="6" t="s">
        <v>16</v>
      </c>
      <c r="D27" s="7">
        <v>66286724</v>
      </c>
      <c r="E27" s="7">
        <v>45361266.311558001</v>
      </c>
      <c r="F27" s="7">
        <v>2172.944724</v>
      </c>
      <c r="G27" s="6" t="s">
        <v>17</v>
      </c>
      <c r="H27" s="6" t="s">
        <v>17</v>
      </c>
      <c r="I27" s="6">
        <v>9630</v>
      </c>
      <c r="J27" s="6">
        <v>306</v>
      </c>
      <c r="K27" s="7">
        <v>24889</v>
      </c>
      <c r="L27" s="7">
        <v>6883.3565939999999</v>
      </c>
      <c r="M27" s="7">
        <v>6201.2838430000002</v>
      </c>
      <c r="N27" s="6">
        <v>96.3</v>
      </c>
      <c r="P27" s="6">
        <f t="shared" si="2"/>
        <v>0.67546530467800348</v>
      </c>
    </row>
    <row r="28" spans="1:16" x14ac:dyDescent="0.25">
      <c r="A28" s="6">
        <v>21</v>
      </c>
      <c r="B28" s="6" t="s">
        <v>37</v>
      </c>
      <c r="C28" s="6" t="s">
        <v>16</v>
      </c>
      <c r="D28" s="7">
        <v>65480092</v>
      </c>
      <c r="E28" s="7">
        <v>50268708.532663003</v>
      </c>
      <c r="F28" s="7">
        <v>1579.582915</v>
      </c>
      <c r="G28" s="6" t="s">
        <v>17</v>
      </c>
      <c r="H28" s="6" t="s">
        <v>17</v>
      </c>
      <c r="I28" s="6">
        <v>9630</v>
      </c>
      <c r="J28" s="6">
        <v>340</v>
      </c>
      <c r="K28" s="7">
        <v>23419</v>
      </c>
      <c r="L28" s="7">
        <v>6799.5941849999999</v>
      </c>
      <c r="M28" s="7">
        <v>5847.7407560000001</v>
      </c>
      <c r="N28" s="6">
        <v>96.3</v>
      </c>
      <c r="P28" s="6">
        <f t="shared" si="2"/>
        <v>0.74854101937038142</v>
      </c>
    </row>
    <row r="29" spans="1:16" x14ac:dyDescent="0.25">
      <c r="A29" s="6">
        <v>22</v>
      </c>
      <c r="B29" s="6" t="s">
        <v>38</v>
      </c>
      <c r="C29" s="6" t="s">
        <v>16</v>
      </c>
      <c r="D29" s="7">
        <v>52967280</v>
      </c>
      <c r="E29" s="7">
        <v>38734164.195979998</v>
      </c>
      <c r="F29" s="7">
        <v>1477.9974870000001</v>
      </c>
      <c r="G29" s="6" t="s">
        <v>17</v>
      </c>
      <c r="H29" s="6" t="s">
        <v>17</v>
      </c>
      <c r="I29" s="6">
        <v>9630</v>
      </c>
      <c r="J29" s="6">
        <v>194</v>
      </c>
      <c r="K29" s="7">
        <v>19586</v>
      </c>
      <c r="L29" s="7">
        <v>5500.2367599999998</v>
      </c>
      <c r="M29" s="7">
        <v>4647.378412</v>
      </c>
      <c r="N29" s="6">
        <v>96.3</v>
      </c>
      <c r="P29" s="6">
        <f t="shared" si="2"/>
        <v>0.57678248751664574</v>
      </c>
    </row>
    <row r="30" spans="1:16" x14ac:dyDescent="0.25">
      <c r="A30" s="6">
        <v>23</v>
      </c>
      <c r="B30" s="6" t="s">
        <v>39</v>
      </c>
      <c r="C30" s="6" t="s">
        <v>16</v>
      </c>
      <c r="D30" s="7">
        <v>37904362</v>
      </c>
      <c r="E30" s="7">
        <v>25486936.723618001</v>
      </c>
      <c r="F30" s="7">
        <v>1289.4522609999999</v>
      </c>
      <c r="G30" s="6" t="s">
        <v>17</v>
      </c>
      <c r="H30" s="6" t="s">
        <v>17</v>
      </c>
      <c r="I30" s="6">
        <v>9630</v>
      </c>
      <c r="J30" s="6">
        <v>111</v>
      </c>
      <c r="K30" s="7">
        <v>13791</v>
      </c>
      <c r="L30" s="7">
        <v>3936.0708199999999</v>
      </c>
      <c r="M30" s="7">
        <v>3291.2462620000001</v>
      </c>
      <c r="N30" s="6">
        <v>96.3</v>
      </c>
      <c r="P30" s="6">
        <f t="shared" si="2"/>
        <v>0.37952074267691083</v>
      </c>
    </row>
    <row r="31" spans="1:16" x14ac:dyDescent="0.25">
      <c r="A31" s="6">
        <v>24</v>
      </c>
      <c r="B31" s="6" t="s">
        <v>40</v>
      </c>
      <c r="C31" s="6" t="s">
        <v>16</v>
      </c>
      <c r="D31" s="7">
        <v>14471966</v>
      </c>
      <c r="E31" s="7">
        <v>6759884.5427139997</v>
      </c>
      <c r="F31" s="6">
        <v>800.83919600000002</v>
      </c>
      <c r="G31" s="6" t="s">
        <v>17</v>
      </c>
      <c r="H31" s="6" t="s">
        <v>17</v>
      </c>
      <c r="I31" s="6">
        <v>9630</v>
      </c>
      <c r="J31" s="6">
        <v>21</v>
      </c>
      <c r="K31" s="7">
        <v>5413</v>
      </c>
      <c r="L31" s="7">
        <v>1502.8002080000001</v>
      </c>
      <c r="M31" s="7">
        <v>1279.8588299999999</v>
      </c>
      <c r="N31" s="6">
        <v>96.3</v>
      </c>
      <c r="P31" s="6">
        <f t="shared" si="2"/>
        <v>0.10066005302565835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8"/>
  <sheetViews>
    <sheetView workbookViewId="0">
      <selection activeCell="P8" sqref="P8:P28"/>
    </sheetView>
  </sheetViews>
  <sheetFormatPr defaultRowHeight="15" x14ac:dyDescent="0.25"/>
  <cols>
    <col min="4" max="4" width="14.85546875" customWidth="1"/>
    <col min="5" max="5" width="15" customWidth="1"/>
  </cols>
  <sheetData>
    <row r="1" spans="1:16" x14ac:dyDescent="0.25">
      <c r="A1" s="2" t="s">
        <v>73</v>
      </c>
    </row>
    <row r="2" spans="1:16" x14ac:dyDescent="0.25">
      <c r="A2" t="s">
        <v>77</v>
      </c>
    </row>
    <row r="3" spans="1:16" x14ac:dyDescent="0.25">
      <c r="A3" s="3" t="s">
        <v>74</v>
      </c>
    </row>
    <row r="4" spans="1:16" x14ac:dyDescent="0.25">
      <c r="A4" s="3" t="s">
        <v>75</v>
      </c>
    </row>
    <row r="5" spans="1:16" x14ac:dyDescent="0.25">
      <c r="A5" s="3" t="s">
        <v>76</v>
      </c>
    </row>
    <row r="6" spans="1:16" x14ac:dyDescent="0.25"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6" x14ac:dyDescent="0.25">
      <c r="A7" s="8" t="s">
        <v>1</v>
      </c>
      <c r="B7" s="8" t="s">
        <v>2</v>
      </c>
      <c r="C7" s="8" t="s">
        <v>3</v>
      </c>
      <c r="D7" s="8" t="s">
        <v>4</v>
      </c>
      <c r="E7" s="8" t="s">
        <v>5</v>
      </c>
      <c r="F7" s="8" t="s">
        <v>6</v>
      </c>
      <c r="G7" s="8" t="s">
        <v>7</v>
      </c>
      <c r="H7" s="8" t="s">
        <v>8</v>
      </c>
      <c r="I7" s="8" t="s">
        <v>9</v>
      </c>
      <c r="J7" s="8" t="s">
        <v>10</v>
      </c>
      <c r="K7" s="8" t="s">
        <v>11</v>
      </c>
      <c r="L7" s="8" t="s">
        <v>12</v>
      </c>
      <c r="M7" s="8" t="s">
        <v>13</v>
      </c>
      <c r="N7" s="8" t="s">
        <v>14</v>
      </c>
    </row>
    <row r="8" spans="1:16" x14ac:dyDescent="0.25">
      <c r="A8" s="8">
        <v>1</v>
      </c>
      <c r="B8" s="8" t="s">
        <v>15</v>
      </c>
      <c r="C8" s="8" t="s">
        <v>16</v>
      </c>
      <c r="D8" s="9">
        <v>163876524</v>
      </c>
      <c r="E8" s="9">
        <v>132152811.81407</v>
      </c>
      <c r="F8" s="9">
        <v>3294.2587939999999</v>
      </c>
      <c r="G8" s="8" t="s">
        <v>17</v>
      </c>
      <c r="H8" s="8" t="s">
        <v>17</v>
      </c>
      <c r="I8" s="8">
        <v>9630</v>
      </c>
      <c r="J8" s="8">
        <v>339</v>
      </c>
      <c r="K8" s="9">
        <v>62408</v>
      </c>
      <c r="L8" s="9">
        <v>17017.292212</v>
      </c>
      <c r="M8" s="9">
        <v>15860.902054</v>
      </c>
      <c r="N8" s="8">
        <v>96.3</v>
      </c>
      <c r="P8">
        <f>E8/132152811.81407</f>
        <v>1</v>
      </c>
    </row>
    <row r="9" spans="1:16" x14ac:dyDescent="0.25">
      <c r="A9" s="8">
        <v>2</v>
      </c>
      <c r="B9" s="8" t="s">
        <v>18</v>
      </c>
      <c r="C9" s="8" t="s">
        <v>16</v>
      </c>
      <c r="D9" s="9">
        <v>165939414</v>
      </c>
      <c r="E9" s="9">
        <v>133029566.48743699</v>
      </c>
      <c r="F9" s="9">
        <v>3417.4296479999998</v>
      </c>
      <c r="G9" s="8" t="s">
        <v>17</v>
      </c>
      <c r="H9" s="8" t="s">
        <v>17</v>
      </c>
      <c r="I9" s="8">
        <v>9630</v>
      </c>
      <c r="J9" s="8">
        <v>459</v>
      </c>
      <c r="K9" s="9">
        <v>58286</v>
      </c>
      <c r="L9" s="9">
        <v>17231.507164999999</v>
      </c>
      <c r="M9" s="9">
        <v>14872.311979</v>
      </c>
      <c r="N9" s="8">
        <v>96.3</v>
      </c>
      <c r="P9" s="8">
        <f t="shared" ref="P9:P14" si="0">E9/132152811.81407</f>
        <v>1.0066344004439385</v>
      </c>
    </row>
    <row r="10" spans="1:16" x14ac:dyDescent="0.25">
      <c r="A10" s="8">
        <v>3</v>
      </c>
      <c r="B10" s="8" t="s">
        <v>19</v>
      </c>
      <c r="C10" s="8" t="s">
        <v>16</v>
      </c>
      <c r="D10" s="9">
        <v>141590404</v>
      </c>
      <c r="E10" s="9">
        <v>115667315.05527601</v>
      </c>
      <c r="F10" s="9">
        <v>2691.9095480000001</v>
      </c>
      <c r="G10" s="8" t="s">
        <v>17</v>
      </c>
      <c r="H10" s="8" t="s">
        <v>17</v>
      </c>
      <c r="I10" s="8">
        <v>9630</v>
      </c>
      <c r="J10" s="8">
        <v>265</v>
      </c>
      <c r="K10" s="9">
        <v>49993</v>
      </c>
      <c r="L10" s="9">
        <v>14703.053375</v>
      </c>
      <c r="M10" s="9">
        <v>12429.147328999999</v>
      </c>
      <c r="N10" s="8">
        <v>96.3</v>
      </c>
      <c r="P10" s="8">
        <f t="shared" si="0"/>
        <v>0.87525428681768824</v>
      </c>
    </row>
    <row r="11" spans="1:16" x14ac:dyDescent="0.25">
      <c r="A11" s="8">
        <v>4</v>
      </c>
      <c r="B11" s="8" t="s">
        <v>20</v>
      </c>
      <c r="C11" s="8" t="s">
        <v>16</v>
      </c>
      <c r="D11" s="9">
        <v>143442582</v>
      </c>
      <c r="E11" s="9">
        <v>115706948.005025</v>
      </c>
      <c r="F11" s="9">
        <v>2880.1281410000001</v>
      </c>
      <c r="G11" s="8" t="s">
        <v>17</v>
      </c>
      <c r="H11" s="8" t="s">
        <v>17</v>
      </c>
      <c r="I11" s="8">
        <v>9630</v>
      </c>
      <c r="J11" s="8">
        <v>377</v>
      </c>
      <c r="K11" s="9">
        <v>49621</v>
      </c>
      <c r="L11" s="9">
        <v>14895.387538999999</v>
      </c>
      <c r="M11" s="9">
        <v>12469.905204999999</v>
      </c>
      <c r="N11" s="8">
        <v>96.3</v>
      </c>
      <c r="P11" s="8">
        <f t="shared" si="0"/>
        <v>0.87555418925037165</v>
      </c>
    </row>
    <row r="12" spans="1:16" x14ac:dyDescent="0.25">
      <c r="A12" s="8">
        <v>5</v>
      </c>
      <c r="B12" s="8" t="s">
        <v>21</v>
      </c>
      <c r="C12" s="8" t="s">
        <v>16</v>
      </c>
      <c r="D12" s="9">
        <v>127737841</v>
      </c>
      <c r="E12" s="9">
        <v>98640215.296481997</v>
      </c>
      <c r="F12" s="9">
        <v>3021.5603019999999</v>
      </c>
      <c r="G12" s="8" t="s">
        <v>17</v>
      </c>
      <c r="H12" s="8" t="s">
        <v>17</v>
      </c>
      <c r="I12" s="8">
        <v>9630</v>
      </c>
      <c r="J12" s="8">
        <v>372</v>
      </c>
      <c r="K12" s="9">
        <v>43945</v>
      </c>
      <c r="L12" s="9">
        <v>13264.573313000001</v>
      </c>
      <c r="M12" s="9">
        <v>10733.564466</v>
      </c>
      <c r="N12" s="8">
        <v>96.3</v>
      </c>
      <c r="P12" s="8">
        <f t="shared" si="0"/>
        <v>0.74641026507451125</v>
      </c>
    </row>
    <row r="13" spans="1:16" x14ac:dyDescent="0.25">
      <c r="A13" s="8">
        <v>6</v>
      </c>
      <c r="B13" s="8" t="s">
        <v>22</v>
      </c>
      <c r="C13" s="8" t="s">
        <v>16</v>
      </c>
      <c r="D13" s="9">
        <v>103051950</v>
      </c>
      <c r="E13" s="9">
        <v>73310953.190954998</v>
      </c>
      <c r="F13" s="9">
        <v>3088.3693469999998</v>
      </c>
      <c r="G13" s="8" t="s">
        <v>17</v>
      </c>
      <c r="H13" s="8" t="s">
        <v>17</v>
      </c>
      <c r="I13" s="8">
        <v>9630</v>
      </c>
      <c r="J13" s="8">
        <v>476</v>
      </c>
      <c r="K13" s="9">
        <v>33800</v>
      </c>
      <c r="L13" s="9">
        <v>10701.137072</v>
      </c>
      <c r="M13" s="9">
        <v>8293.8887549999999</v>
      </c>
      <c r="N13" s="8">
        <v>96.3</v>
      </c>
      <c r="P13" s="8">
        <f t="shared" si="0"/>
        <v>0.55474380139636004</v>
      </c>
    </row>
    <row r="14" spans="1:16" x14ac:dyDescent="0.25">
      <c r="A14" s="8">
        <v>7</v>
      </c>
      <c r="B14" s="8" t="s">
        <v>23</v>
      </c>
      <c r="C14" s="8" t="s">
        <v>16</v>
      </c>
      <c r="D14" s="9">
        <v>29764639</v>
      </c>
      <c r="E14" s="9">
        <v>12332984.025126001</v>
      </c>
      <c r="F14" s="9">
        <v>1810.1407039999999</v>
      </c>
      <c r="G14" s="8" t="s">
        <v>17</v>
      </c>
      <c r="H14" s="8" t="s">
        <v>17</v>
      </c>
      <c r="I14" s="8">
        <v>9630</v>
      </c>
      <c r="J14" s="8">
        <v>110</v>
      </c>
      <c r="K14" s="9">
        <v>8242</v>
      </c>
      <c r="L14" s="9">
        <v>3090.8244030000001</v>
      </c>
      <c r="M14" s="9">
        <v>1980.2501010000001</v>
      </c>
      <c r="N14" s="8">
        <v>96.3</v>
      </c>
      <c r="P14" s="8">
        <f t="shared" si="0"/>
        <v>9.3323659601565412E-2</v>
      </c>
    </row>
    <row r="15" spans="1:16" x14ac:dyDescent="0.25">
      <c r="A15" s="8">
        <v>8</v>
      </c>
      <c r="B15" s="8" t="s">
        <v>24</v>
      </c>
      <c r="C15" s="8" t="s">
        <v>16</v>
      </c>
      <c r="D15" s="9">
        <v>170754350</v>
      </c>
      <c r="E15" s="9">
        <v>135538843.36683401</v>
      </c>
      <c r="F15" s="9">
        <v>3656.8542710000002</v>
      </c>
      <c r="G15" s="8" t="s">
        <v>17</v>
      </c>
      <c r="H15" s="8" t="s">
        <v>17</v>
      </c>
      <c r="I15" s="8">
        <v>9630</v>
      </c>
      <c r="J15" s="8">
        <v>33</v>
      </c>
      <c r="K15" s="9">
        <v>65534</v>
      </c>
      <c r="L15" s="9">
        <v>17731.500519000001</v>
      </c>
      <c r="M15" s="9">
        <v>16577.165569000001</v>
      </c>
      <c r="N15" s="8">
        <v>96.3</v>
      </c>
      <c r="P15">
        <f>E15/135538843.366834</f>
        <v>1</v>
      </c>
    </row>
    <row r="16" spans="1:16" x14ac:dyDescent="0.25">
      <c r="A16" s="8">
        <v>9</v>
      </c>
      <c r="B16" s="8" t="s">
        <v>25</v>
      </c>
      <c r="C16" s="8" t="s">
        <v>16</v>
      </c>
      <c r="D16" s="9">
        <v>152271991</v>
      </c>
      <c r="E16" s="9">
        <v>120728611.452261</v>
      </c>
      <c r="F16" s="9">
        <v>3275.532663</v>
      </c>
      <c r="G16" s="8" t="s">
        <v>17</v>
      </c>
      <c r="H16" s="8" t="s">
        <v>17</v>
      </c>
      <c r="I16" s="8">
        <v>9630</v>
      </c>
      <c r="J16" s="8">
        <v>155</v>
      </c>
      <c r="K16" s="9">
        <v>54418</v>
      </c>
      <c r="L16" s="9">
        <v>15812.25244</v>
      </c>
      <c r="M16" s="9">
        <v>13715.576365000001</v>
      </c>
      <c r="N16" s="8">
        <v>96.3</v>
      </c>
      <c r="P16" s="8">
        <f t="shared" ref="P16:P21" si="1">E16/135538843.366834</f>
        <v>0.89073071935187376</v>
      </c>
    </row>
    <row r="17" spans="1:16" x14ac:dyDescent="0.25">
      <c r="A17" s="8">
        <v>10</v>
      </c>
      <c r="B17" s="8" t="s">
        <v>26</v>
      </c>
      <c r="C17" s="8" t="s">
        <v>16</v>
      </c>
      <c r="D17" s="9">
        <v>139959166</v>
      </c>
      <c r="E17" s="9">
        <v>111935333.68844201</v>
      </c>
      <c r="F17" s="9">
        <v>2910.055276</v>
      </c>
      <c r="G17" s="8" t="s">
        <v>17</v>
      </c>
      <c r="H17" s="8" t="s">
        <v>17</v>
      </c>
      <c r="I17" s="8">
        <v>9630</v>
      </c>
      <c r="J17" s="8">
        <v>180</v>
      </c>
      <c r="K17" s="9">
        <v>46315</v>
      </c>
      <c r="L17" s="9">
        <v>14533.662098000001</v>
      </c>
      <c r="M17" s="9">
        <v>11825.334994000001</v>
      </c>
      <c r="N17" s="8">
        <v>96.3</v>
      </c>
      <c r="P17" s="8">
        <f t="shared" si="1"/>
        <v>0.82585427843360415</v>
      </c>
    </row>
    <row r="18" spans="1:16" x14ac:dyDescent="0.25">
      <c r="A18" s="8">
        <v>11</v>
      </c>
      <c r="B18" s="8" t="s">
        <v>27</v>
      </c>
      <c r="C18" s="8" t="s">
        <v>16</v>
      </c>
      <c r="D18" s="9">
        <v>140047245</v>
      </c>
      <c r="E18" s="9">
        <v>105560255.12562799</v>
      </c>
      <c r="F18" s="9">
        <v>3581.2035179999998</v>
      </c>
      <c r="G18" s="8" t="s">
        <v>17</v>
      </c>
      <c r="H18" s="8" t="s">
        <v>17</v>
      </c>
      <c r="I18" s="8">
        <v>9630</v>
      </c>
      <c r="J18" s="8">
        <v>307</v>
      </c>
      <c r="K18" s="9">
        <v>46701</v>
      </c>
      <c r="L18" s="9">
        <v>14542.808411</v>
      </c>
      <c r="M18" s="9">
        <v>11714.242343</v>
      </c>
      <c r="N18" s="8">
        <v>96.3</v>
      </c>
      <c r="P18" s="8">
        <f t="shared" si="1"/>
        <v>0.77881921155200218</v>
      </c>
    </row>
    <row r="19" spans="1:16" x14ac:dyDescent="0.25">
      <c r="A19" s="8">
        <v>12</v>
      </c>
      <c r="B19" s="8" t="s">
        <v>28</v>
      </c>
      <c r="C19" s="8" t="s">
        <v>16</v>
      </c>
      <c r="D19" s="9">
        <v>144128714</v>
      </c>
      <c r="E19" s="9">
        <v>113867237.467337</v>
      </c>
      <c r="F19" s="9">
        <v>3142.417085</v>
      </c>
      <c r="G19" s="8" t="s">
        <v>17</v>
      </c>
      <c r="H19" s="8" t="s">
        <v>17</v>
      </c>
      <c r="I19" s="8">
        <v>9630</v>
      </c>
      <c r="J19" s="8">
        <v>160</v>
      </c>
      <c r="K19" s="9">
        <v>46823</v>
      </c>
      <c r="L19" s="9">
        <v>14966.636968000001</v>
      </c>
      <c r="M19" s="9">
        <v>12122.427519999999</v>
      </c>
      <c r="N19" s="8">
        <v>96.3</v>
      </c>
      <c r="P19" s="8">
        <f t="shared" si="1"/>
        <v>0.84010778488906601</v>
      </c>
    </row>
    <row r="20" spans="1:16" x14ac:dyDescent="0.25">
      <c r="A20" s="8">
        <v>13</v>
      </c>
      <c r="B20" s="8" t="s">
        <v>29</v>
      </c>
      <c r="C20" s="8" t="s">
        <v>16</v>
      </c>
      <c r="D20" s="9">
        <v>145944843</v>
      </c>
      <c r="E20" s="9">
        <v>119280582.798995</v>
      </c>
      <c r="F20" s="9">
        <v>2768.8743720000002</v>
      </c>
      <c r="G20" s="8" t="s">
        <v>17</v>
      </c>
      <c r="H20" s="8" t="s">
        <v>17</v>
      </c>
      <c r="I20" s="8">
        <v>9630</v>
      </c>
      <c r="J20" s="8">
        <v>285</v>
      </c>
      <c r="K20" s="9">
        <v>48600</v>
      </c>
      <c r="L20" s="9">
        <v>15155.227725999999</v>
      </c>
      <c r="M20" s="9">
        <v>12388.521086000001</v>
      </c>
      <c r="N20" s="8">
        <v>96.3</v>
      </c>
      <c r="P20" s="8">
        <f t="shared" si="1"/>
        <v>0.8800472236299357</v>
      </c>
    </row>
    <row r="21" spans="1:16" x14ac:dyDescent="0.25">
      <c r="A21" s="8">
        <v>14</v>
      </c>
      <c r="B21" s="8" t="s">
        <v>30</v>
      </c>
      <c r="C21" s="8" t="s">
        <v>16</v>
      </c>
      <c r="D21" s="9">
        <v>94598246</v>
      </c>
      <c r="E21" s="9">
        <v>74054407.306532994</v>
      </c>
      <c r="F21" s="9">
        <v>2133.3165829999998</v>
      </c>
      <c r="G21" s="8" t="s">
        <v>17</v>
      </c>
      <c r="H21" s="8" t="s">
        <v>17</v>
      </c>
      <c r="I21" s="8">
        <v>9630</v>
      </c>
      <c r="J21" s="8">
        <v>142</v>
      </c>
      <c r="K21" s="9">
        <v>28586</v>
      </c>
      <c r="L21" s="9">
        <v>9823.2861890000004</v>
      </c>
      <c r="M21" s="9">
        <v>7427.9181319999998</v>
      </c>
      <c r="N21" s="8">
        <v>96.3</v>
      </c>
      <c r="P21" s="8">
        <f t="shared" si="1"/>
        <v>0.54637036488577495</v>
      </c>
    </row>
    <row r="22" spans="1:16" x14ac:dyDescent="0.25">
      <c r="A22" s="8">
        <v>15</v>
      </c>
      <c r="B22" s="8" t="s">
        <v>31</v>
      </c>
      <c r="C22" s="8" t="s">
        <v>16</v>
      </c>
      <c r="D22" s="9">
        <v>94178176</v>
      </c>
      <c r="E22" s="9">
        <v>74390340.698492005</v>
      </c>
      <c r="F22" s="9">
        <v>2054.8115579999999</v>
      </c>
      <c r="G22" s="8" t="s">
        <v>17</v>
      </c>
      <c r="H22" s="8" t="s">
        <v>17</v>
      </c>
      <c r="I22" s="8">
        <v>9630</v>
      </c>
      <c r="J22" s="8">
        <v>532</v>
      </c>
      <c r="K22" s="9">
        <v>32558</v>
      </c>
      <c r="L22" s="9">
        <v>9779.6652130000002</v>
      </c>
      <c r="M22" s="9">
        <v>8025.5054479999999</v>
      </c>
      <c r="N22" s="8">
        <v>96.3</v>
      </c>
      <c r="P22">
        <f>E22/74390340.698492</f>
        <v>1</v>
      </c>
    </row>
    <row r="23" spans="1:16" x14ac:dyDescent="0.25">
      <c r="A23" s="8">
        <v>16</v>
      </c>
      <c r="B23" s="8" t="s">
        <v>32</v>
      </c>
      <c r="C23" s="8" t="s">
        <v>16</v>
      </c>
      <c r="D23" s="9">
        <v>90972513</v>
      </c>
      <c r="E23" s="9">
        <v>68916256.190954998</v>
      </c>
      <c r="F23" s="9">
        <v>2290.3693469999998</v>
      </c>
      <c r="G23" s="8" t="s">
        <v>17</v>
      </c>
      <c r="H23" s="8" t="s">
        <v>17</v>
      </c>
      <c r="I23" s="8">
        <v>9630</v>
      </c>
      <c r="J23" s="8">
        <v>497</v>
      </c>
      <c r="K23" s="9">
        <v>30636</v>
      </c>
      <c r="L23" s="9">
        <v>9446.7822429999997</v>
      </c>
      <c r="M23" s="9">
        <v>7632.6427309999999</v>
      </c>
      <c r="N23" s="8">
        <v>96.3</v>
      </c>
      <c r="P23" s="8">
        <f t="shared" ref="P23:P28" si="2">E23/74390340.698492</f>
        <v>0.92641404171377895</v>
      </c>
    </row>
    <row r="24" spans="1:16" x14ac:dyDescent="0.25">
      <c r="A24" s="8">
        <v>17</v>
      </c>
      <c r="B24" s="8" t="s">
        <v>33</v>
      </c>
      <c r="C24" s="8" t="s">
        <v>16</v>
      </c>
      <c r="D24" s="9">
        <v>87997164</v>
      </c>
      <c r="E24" s="9">
        <v>63163620.030151002</v>
      </c>
      <c r="F24" s="9">
        <v>2578.7688440000002</v>
      </c>
      <c r="G24" s="8" t="s">
        <v>17</v>
      </c>
      <c r="H24" s="8" t="s">
        <v>17</v>
      </c>
      <c r="I24" s="8">
        <v>9630</v>
      </c>
      <c r="J24" s="8">
        <v>606</v>
      </c>
      <c r="K24" s="9">
        <v>30618</v>
      </c>
      <c r="L24" s="9">
        <v>9137.8155760000009</v>
      </c>
      <c r="M24" s="9">
        <v>7514.1532619999998</v>
      </c>
      <c r="N24" s="8">
        <v>96.3</v>
      </c>
      <c r="P24" s="8">
        <f t="shared" si="2"/>
        <v>0.84908362345262678</v>
      </c>
    </row>
    <row r="25" spans="1:16" x14ac:dyDescent="0.25">
      <c r="A25" s="8">
        <v>18</v>
      </c>
      <c r="B25" s="8" t="s">
        <v>34</v>
      </c>
      <c r="C25" s="8" t="s">
        <v>16</v>
      </c>
      <c r="D25" s="9">
        <v>83920224</v>
      </c>
      <c r="E25" s="9">
        <v>52620014.050251</v>
      </c>
      <c r="F25" s="9">
        <v>3250.2814069999999</v>
      </c>
      <c r="G25" s="8" t="s">
        <v>17</v>
      </c>
      <c r="H25" s="8" t="s">
        <v>17</v>
      </c>
      <c r="I25" s="8">
        <v>9630</v>
      </c>
      <c r="J25" s="8">
        <v>548</v>
      </c>
      <c r="K25" s="9">
        <v>29759</v>
      </c>
      <c r="L25" s="9">
        <v>8714.4573209999999</v>
      </c>
      <c r="M25" s="9">
        <v>7629.198891</v>
      </c>
      <c r="N25" s="8">
        <v>96.3</v>
      </c>
      <c r="P25" s="8">
        <f t="shared" si="2"/>
        <v>0.70735008814548528</v>
      </c>
    </row>
    <row r="26" spans="1:16" x14ac:dyDescent="0.25">
      <c r="A26" s="8">
        <v>19</v>
      </c>
      <c r="B26" s="8" t="s">
        <v>35</v>
      </c>
      <c r="C26" s="8" t="s">
        <v>16</v>
      </c>
      <c r="D26" s="9">
        <v>90409522</v>
      </c>
      <c r="E26" s="9">
        <v>65719339.211055003</v>
      </c>
      <c r="F26" s="9">
        <v>2563.8819100000001</v>
      </c>
      <c r="G26" s="8" t="s">
        <v>17</v>
      </c>
      <c r="H26" s="8" t="s">
        <v>17</v>
      </c>
      <c r="I26" s="8">
        <v>9630</v>
      </c>
      <c r="J26" s="8">
        <v>738</v>
      </c>
      <c r="K26" s="9">
        <v>29773</v>
      </c>
      <c r="L26" s="9">
        <v>9388.3200419999994</v>
      </c>
      <c r="M26" s="9">
        <v>7263.0247230000004</v>
      </c>
      <c r="N26" s="8">
        <v>96.3</v>
      </c>
      <c r="P26" s="8">
        <f t="shared" si="2"/>
        <v>0.88343914806653423</v>
      </c>
    </row>
    <row r="27" spans="1:16" x14ac:dyDescent="0.25">
      <c r="A27" s="8">
        <v>20</v>
      </c>
      <c r="B27" s="8" t="s">
        <v>36</v>
      </c>
      <c r="C27" s="8" t="s">
        <v>16</v>
      </c>
      <c r="D27" s="9">
        <v>72712045</v>
      </c>
      <c r="E27" s="9">
        <v>51537707.462311998</v>
      </c>
      <c r="F27" s="9">
        <v>2198.7889449999998</v>
      </c>
      <c r="G27" s="8" t="s">
        <v>17</v>
      </c>
      <c r="H27" s="8" t="s">
        <v>17</v>
      </c>
      <c r="I27" s="8">
        <v>9630</v>
      </c>
      <c r="J27" s="8">
        <v>407</v>
      </c>
      <c r="K27" s="9">
        <v>22809</v>
      </c>
      <c r="L27" s="9">
        <v>7550.5758050000004</v>
      </c>
      <c r="M27" s="9">
        <v>5661.1629899999998</v>
      </c>
      <c r="N27" s="8">
        <v>96.3</v>
      </c>
      <c r="P27" s="8">
        <f t="shared" si="2"/>
        <v>0.69280106769771443</v>
      </c>
    </row>
    <row r="28" spans="1:16" x14ac:dyDescent="0.25">
      <c r="A28" s="8">
        <v>21</v>
      </c>
      <c r="B28" s="8" t="s">
        <v>37</v>
      </c>
      <c r="C28" s="8" t="s">
        <v>16</v>
      </c>
      <c r="D28" s="9">
        <v>25230110</v>
      </c>
      <c r="E28" s="9">
        <v>14351670.025126001</v>
      </c>
      <c r="F28" s="9">
        <v>1129.6407039999999</v>
      </c>
      <c r="G28" s="8" t="s">
        <v>17</v>
      </c>
      <c r="H28" s="8" t="s">
        <v>17</v>
      </c>
      <c r="I28" s="8">
        <v>9630</v>
      </c>
      <c r="J28" s="8">
        <v>196</v>
      </c>
      <c r="K28" s="9">
        <v>7346</v>
      </c>
      <c r="L28" s="9">
        <v>2619.9491170000001</v>
      </c>
      <c r="M28" s="9">
        <v>1585.5881750000001</v>
      </c>
      <c r="N28" s="8">
        <v>96.3</v>
      </c>
      <c r="P28" s="8">
        <f t="shared" si="2"/>
        <v>0.19292383783123243</v>
      </c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4"/>
  <sheetViews>
    <sheetView topLeftCell="A19" workbookViewId="0">
      <selection activeCell="D46" sqref="D26:D46"/>
    </sheetView>
  </sheetViews>
  <sheetFormatPr defaultRowHeight="15" x14ac:dyDescent="0.25"/>
  <cols>
    <col min="1" max="1" width="9.140625" style="6"/>
    <col min="2" max="2" width="15.5703125" customWidth="1"/>
    <col min="3" max="3" width="15.5703125" style="6" customWidth="1"/>
  </cols>
  <sheetData>
    <row r="1" spans="1:4" x14ac:dyDescent="0.25">
      <c r="A1" s="6" t="s">
        <v>69</v>
      </c>
      <c r="B1" t="s">
        <v>66</v>
      </c>
      <c r="C1" s="6" t="s">
        <v>67</v>
      </c>
      <c r="D1" t="s">
        <v>68</v>
      </c>
    </row>
    <row r="2" spans="1:4" x14ac:dyDescent="0.25">
      <c r="A2" s="6">
        <v>0</v>
      </c>
      <c r="B2" t="s">
        <v>60</v>
      </c>
      <c r="C2" s="6" t="s">
        <v>62</v>
      </c>
      <c r="D2">
        <v>1</v>
      </c>
    </row>
    <row r="3" spans="1:4" x14ac:dyDescent="0.25">
      <c r="A3" s="6">
        <v>1</v>
      </c>
      <c r="B3" s="6" t="s">
        <v>60</v>
      </c>
      <c r="C3" s="6" t="s">
        <v>62</v>
      </c>
      <c r="D3">
        <v>1.266346855963177</v>
      </c>
    </row>
    <row r="4" spans="1:4" x14ac:dyDescent="0.25">
      <c r="A4" s="6">
        <v>3</v>
      </c>
      <c r="B4" s="6" t="s">
        <v>60</v>
      </c>
      <c r="C4" s="6" t="s">
        <v>62</v>
      </c>
      <c r="D4">
        <v>1.5096891813816631</v>
      </c>
    </row>
    <row r="5" spans="1:4" x14ac:dyDescent="0.25">
      <c r="A5" s="6">
        <v>5</v>
      </c>
      <c r="B5" s="6" t="s">
        <v>60</v>
      </c>
      <c r="C5" s="6" t="s">
        <v>62</v>
      </c>
      <c r="D5">
        <v>1.3381938508032121</v>
      </c>
    </row>
    <row r="6" spans="1:4" x14ac:dyDescent="0.25">
      <c r="A6" s="6">
        <v>10</v>
      </c>
      <c r="B6" s="6" t="s">
        <v>60</v>
      </c>
      <c r="C6" s="6" t="s">
        <v>62</v>
      </c>
      <c r="D6">
        <v>1.421029799964288</v>
      </c>
    </row>
    <row r="7" spans="1:4" x14ac:dyDescent="0.25">
      <c r="A7" s="6">
        <v>30</v>
      </c>
      <c r="B7" s="6" t="s">
        <v>60</v>
      </c>
      <c r="C7" s="6" t="s">
        <v>62</v>
      </c>
      <c r="D7">
        <v>1.0310993957716228</v>
      </c>
    </row>
    <row r="8" spans="1:4" x14ac:dyDescent="0.25">
      <c r="A8" s="6">
        <v>60</v>
      </c>
      <c r="B8" s="6" t="s">
        <v>60</v>
      </c>
      <c r="C8" s="6" t="s">
        <v>62</v>
      </c>
      <c r="D8">
        <v>0.58700603431414355</v>
      </c>
    </row>
    <row r="9" spans="1:4" x14ac:dyDescent="0.25">
      <c r="A9" s="6">
        <v>120</v>
      </c>
      <c r="B9" s="6" t="s">
        <v>60</v>
      </c>
      <c r="C9" s="6" t="s">
        <v>62</v>
      </c>
      <c r="D9">
        <v>0.10639543230935603</v>
      </c>
    </row>
    <row r="10" spans="1:4" x14ac:dyDescent="0.25">
      <c r="A10" s="6">
        <v>0</v>
      </c>
      <c r="B10" t="s">
        <v>61</v>
      </c>
      <c r="C10" s="6" t="s">
        <v>62</v>
      </c>
      <c r="D10">
        <v>1</v>
      </c>
    </row>
    <row r="11" spans="1:4" x14ac:dyDescent="0.25">
      <c r="A11" s="6">
        <v>1</v>
      </c>
      <c r="B11" s="6" t="s">
        <v>61</v>
      </c>
      <c r="C11" s="6" t="s">
        <v>62</v>
      </c>
      <c r="D11">
        <v>0.80181699549591889</v>
      </c>
    </row>
    <row r="12" spans="1:4" x14ac:dyDescent="0.25">
      <c r="A12" s="6">
        <v>3</v>
      </c>
      <c r="B12" s="6" t="s">
        <v>61</v>
      </c>
      <c r="C12" s="6" t="s">
        <v>62</v>
      </c>
      <c r="D12">
        <v>0.8441306077560129</v>
      </c>
    </row>
    <row r="13" spans="1:4" x14ac:dyDescent="0.25">
      <c r="A13" s="6">
        <v>5</v>
      </c>
      <c r="B13" s="6" t="s">
        <v>61</v>
      </c>
      <c r="C13" s="6" t="s">
        <v>62</v>
      </c>
      <c r="D13">
        <v>0.83778330447907823</v>
      </c>
    </row>
    <row r="14" spans="1:4" x14ac:dyDescent="0.25">
      <c r="A14" s="6">
        <v>10</v>
      </c>
      <c r="B14" s="6" t="s">
        <v>61</v>
      </c>
      <c r="C14" s="6" t="s">
        <v>62</v>
      </c>
      <c r="D14">
        <v>0.96232340470464905</v>
      </c>
    </row>
    <row r="15" spans="1:4" x14ac:dyDescent="0.25">
      <c r="A15" s="6">
        <v>30</v>
      </c>
      <c r="B15" s="6" t="s">
        <v>61</v>
      </c>
      <c r="C15" s="6" t="s">
        <v>62</v>
      </c>
      <c r="D15">
        <v>1.0412714726779593</v>
      </c>
    </row>
    <row r="16" spans="1:4" x14ac:dyDescent="0.25">
      <c r="A16" s="6">
        <v>60</v>
      </c>
      <c r="B16" s="6" t="s">
        <v>61</v>
      </c>
      <c r="C16" s="6" t="s">
        <v>62</v>
      </c>
      <c r="D16">
        <v>1.1031019360805068</v>
      </c>
    </row>
    <row r="17" spans="1:4" x14ac:dyDescent="0.25">
      <c r="A17" s="6">
        <v>120</v>
      </c>
      <c r="B17" s="6" t="s">
        <v>61</v>
      </c>
      <c r="C17" s="6" t="s">
        <v>62</v>
      </c>
      <c r="D17">
        <v>0.99080666435356668</v>
      </c>
    </row>
    <row r="18" spans="1:4" x14ac:dyDescent="0.25">
      <c r="A18" s="6">
        <v>0</v>
      </c>
      <c r="B18" t="s">
        <v>63</v>
      </c>
      <c r="C18" s="6" t="s">
        <v>62</v>
      </c>
      <c r="D18">
        <v>1</v>
      </c>
    </row>
    <row r="19" spans="1:4" x14ac:dyDescent="0.25">
      <c r="A19" s="6">
        <v>1</v>
      </c>
      <c r="B19" s="6" t="s">
        <v>63</v>
      </c>
      <c r="C19" s="6" t="s">
        <v>62</v>
      </c>
      <c r="D19">
        <v>0.78489546440356839</v>
      </c>
    </row>
    <row r="20" spans="1:4" x14ac:dyDescent="0.25">
      <c r="A20" s="6">
        <v>3</v>
      </c>
      <c r="B20" s="6" t="s">
        <v>63</v>
      </c>
      <c r="C20" s="6" t="s">
        <v>62</v>
      </c>
      <c r="D20">
        <v>0.79796599991742256</v>
      </c>
    </row>
    <row r="21" spans="1:4" x14ac:dyDescent="0.25">
      <c r="A21" s="6">
        <v>5</v>
      </c>
      <c r="B21" s="6" t="s">
        <v>63</v>
      </c>
      <c r="C21" s="6" t="s">
        <v>62</v>
      </c>
      <c r="D21">
        <v>0.67546530467800348</v>
      </c>
    </row>
    <row r="22" spans="1:4" x14ac:dyDescent="0.25">
      <c r="A22" s="6">
        <v>10</v>
      </c>
      <c r="B22" s="6" t="s">
        <v>63</v>
      </c>
      <c r="C22" s="6" t="s">
        <v>62</v>
      </c>
      <c r="D22">
        <v>0.74854101937038142</v>
      </c>
    </row>
    <row r="23" spans="1:4" x14ac:dyDescent="0.25">
      <c r="A23" s="6">
        <v>30</v>
      </c>
      <c r="B23" s="6" t="s">
        <v>63</v>
      </c>
      <c r="C23" s="6" t="s">
        <v>62</v>
      </c>
      <c r="D23">
        <v>0.57678248751664574</v>
      </c>
    </row>
    <row r="24" spans="1:4" x14ac:dyDescent="0.25">
      <c r="A24" s="6">
        <v>60</v>
      </c>
      <c r="B24" s="6" t="s">
        <v>63</v>
      </c>
      <c r="C24" s="6" t="s">
        <v>62</v>
      </c>
      <c r="D24">
        <v>0.37952074267691083</v>
      </c>
    </row>
    <row r="25" spans="1:4" x14ac:dyDescent="0.25">
      <c r="A25" s="6">
        <v>120</v>
      </c>
      <c r="B25" s="6" t="s">
        <v>63</v>
      </c>
      <c r="C25" s="6" t="s">
        <v>62</v>
      </c>
      <c r="D25">
        <v>0.10066005302565835</v>
      </c>
    </row>
    <row r="26" spans="1:4" x14ac:dyDescent="0.25">
      <c r="A26" s="6">
        <v>0</v>
      </c>
      <c r="B26" s="6" t="s">
        <v>60</v>
      </c>
      <c r="C26" s="6" t="s">
        <v>64</v>
      </c>
      <c r="D26">
        <v>1</v>
      </c>
    </row>
    <row r="27" spans="1:4" x14ac:dyDescent="0.25">
      <c r="A27" s="6">
        <v>1</v>
      </c>
      <c r="B27" s="6" t="s">
        <v>60</v>
      </c>
      <c r="C27" s="6" t="s">
        <v>64</v>
      </c>
      <c r="D27">
        <v>1.0066344004439385</v>
      </c>
    </row>
    <row r="28" spans="1:4" x14ac:dyDescent="0.25">
      <c r="A28" s="6">
        <v>3</v>
      </c>
      <c r="B28" s="6" t="s">
        <v>60</v>
      </c>
      <c r="C28" s="6" t="s">
        <v>64</v>
      </c>
      <c r="D28">
        <v>0.87525428681768824</v>
      </c>
    </row>
    <row r="29" spans="1:4" x14ac:dyDescent="0.25">
      <c r="A29" s="6">
        <v>5</v>
      </c>
      <c r="B29" s="6" t="s">
        <v>60</v>
      </c>
      <c r="C29" s="6" t="s">
        <v>64</v>
      </c>
      <c r="D29">
        <v>0.87555418925037165</v>
      </c>
    </row>
    <row r="30" spans="1:4" x14ac:dyDescent="0.25">
      <c r="A30" s="6">
        <v>10</v>
      </c>
      <c r="B30" s="6" t="s">
        <v>60</v>
      </c>
      <c r="C30" s="6" t="s">
        <v>64</v>
      </c>
      <c r="D30">
        <v>0.74641026507451125</v>
      </c>
    </row>
    <row r="31" spans="1:4" x14ac:dyDescent="0.25">
      <c r="A31" s="6">
        <v>30</v>
      </c>
      <c r="B31" s="6" t="s">
        <v>60</v>
      </c>
      <c r="C31" s="6" t="s">
        <v>64</v>
      </c>
      <c r="D31">
        <v>0.55474380139636004</v>
      </c>
    </row>
    <row r="32" spans="1:4" x14ac:dyDescent="0.25">
      <c r="A32" s="6">
        <v>120</v>
      </c>
      <c r="B32" s="6" t="s">
        <v>60</v>
      </c>
      <c r="C32" s="6" t="s">
        <v>64</v>
      </c>
      <c r="D32">
        <v>9.3323659601565412E-2</v>
      </c>
    </row>
    <row r="33" spans="1:4" x14ac:dyDescent="0.25">
      <c r="A33" s="6">
        <v>0</v>
      </c>
      <c r="B33" s="6" t="s">
        <v>61</v>
      </c>
      <c r="C33" s="6" t="s">
        <v>64</v>
      </c>
      <c r="D33">
        <v>1</v>
      </c>
    </row>
    <row r="34" spans="1:4" x14ac:dyDescent="0.25">
      <c r="A34" s="6">
        <v>1</v>
      </c>
      <c r="B34" s="6" t="s">
        <v>61</v>
      </c>
      <c r="C34" s="6" t="s">
        <v>64</v>
      </c>
      <c r="D34">
        <v>0.89073071935187376</v>
      </c>
    </row>
    <row r="35" spans="1:4" x14ac:dyDescent="0.25">
      <c r="A35" s="6">
        <v>3</v>
      </c>
      <c r="B35" s="6" t="s">
        <v>61</v>
      </c>
      <c r="C35" s="6" t="s">
        <v>64</v>
      </c>
      <c r="D35">
        <v>0.82585427843360415</v>
      </c>
    </row>
    <row r="36" spans="1:4" x14ac:dyDescent="0.25">
      <c r="A36" s="6">
        <v>5</v>
      </c>
      <c r="B36" s="6" t="s">
        <v>61</v>
      </c>
      <c r="C36" s="6" t="s">
        <v>64</v>
      </c>
      <c r="D36">
        <v>0.77881921155200218</v>
      </c>
    </row>
    <row r="37" spans="1:4" x14ac:dyDescent="0.25">
      <c r="A37" s="6">
        <v>10</v>
      </c>
      <c r="B37" s="6" t="s">
        <v>61</v>
      </c>
      <c r="C37" s="6" t="s">
        <v>64</v>
      </c>
      <c r="D37">
        <v>0.84010778488906601</v>
      </c>
    </row>
    <row r="38" spans="1:4" x14ac:dyDescent="0.25">
      <c r="A38" s="6">
        <v>30</v>
      </c>
      <c r="B38" s="6" t="s">
        <v>61</v>
      </c>
      <c r="C38" s="6" t="s">
        <v>64</v>
      </c>
      <c r="D38">
        <v>0.8800472236299357</v>
      </c>
    </row>
    <row r="39" spans="1:4" x14ac:dyDescent="0.25">
      <c r="A39" s="6">
        <v>120</v>
      </c>
      <c r="B39" s="6" t="s">
        <v>61</v>
      </c>
      <c r="C39" s="6" t="s">
        <v>64</v>
      </c>
      <c r="D39">
        <v>0.54637036488577495</v>
      </c>
    </row>
    <row r="40" spans="1:4" x14ac:dyDescent="0.25">
      <c r="A40" s="6">
        <v>0</v>
      </c>
      <c r="B40" s="6" t="s">
        <v>63</v>
      </c>
      <c r="C40" s="6" t="s">
        <v>64</v>
      </c>
      <c r="D40">
        <v>1</v>
      </c>
    </row>
    <row r="41" spans="1:4" x14ac:dyDescent="0.25">
      <c r="A41" s="6">
        <v>1</v>
      </c>
      <c r="B41" s="6" t="s">
        <v>63</v>
      </c>
      <c r="C41" s="6" t="s">
        <v>64</v>
      </c>
      <c r="D41">
        <v>0.92641404171377895</v>
      </c>
    </row>
    <row r="42" spans="1:4" x14ac:dyDescent="0.25">
      <c r="A42" s="6">
        <v>3</v>
      </c>
      <c r="B42" s="6" t="s">
        <v>63</v>
      </c>
      <c r="C42" s="6" t="s">
        <v>64</v>
      </c>
      <c r="D42">
        <v>0.84908362345262678</v>
      </c>
    </row>
    <row r="43" spans="1:4" x14ac:dyDescent="0.25">
      <c r="A43" s="6">
        <v>5</v>
      </c>
      <c r="B43" s="6" t="s">
        <v>63</v>
      </c>
      <c r="C43" s="6" t="s">
        <v>64</v>
      </c>
      <c r="D43">
        <v>0.70735008814548528</v>
      </c>
    </row>
    <row r="44" spans="1:4" x14ac:dyDescent="0.25">
      <c r="A44" s="6">
        <v>10</v>
      </c>
      <c r="B44" s="6" t="s">
        <v>63</v>
      </c>
      <c r="C44" s="6" t="s">
        <v>64</v>
      </c>
      <c r="D44">
        <v>0.88343914806653423</v>
      </c>
    </row>
    <row r="45" spans="1:4" x14ac:dyDescent="0.25">
      <c r="A45" s="6">
        <v>30</v>
      </c>
      <c r="B45" s="6" t="s">
        <v>63</v>
      </c>
      <c r="C45" s="6" t="s">
        <v>64</v>
      </c>
      <c r="D45">
        <v>0.69280106769771443</v>
      </c>
    </row>
    <row r="46" spans="1:4" x14ac:dyDescent="0.25">
      <c r="A46" s="6">
        <v>120</v>
      </c>
      <c r="B46" s="6" t="s">
        <v>63</v>
      </c>
      <c r="C46" s="6" t="s">
        <v>64</v>
      </c>
      <c r="D46">
        <v>0.19292383783123243</v>
      </c>
    </row>
    <row r="47" spans="1:4" x14ac:dyDescent="0.25">
      <c r="A47" s="6">
        <v>0</v>
      </c>
      <c r="B47" s="6" t="s">
        <v>60</v>
      </c>
      <c r="C47" s="6" t="s">
        <v>65</v>
      </c>
      <c r="D47">
        <v>1</v>
      </c>
    </row>
    <row r="48" spans="1:4" x14ac:dyDescent="0.25">
      <c r="A48" s="6">
        <v>1</v>
      </c>
      <c r="B48" s="6" t="s">
        <v>60</v>
      </c>
      <c r="C48" s="6" t="s">
        <v>65</v>
      </c>
      <c r="D48">
        <v>0.70059575749991654</v>
      </c>
    </row>
    <row r="49" spans="1:4" x14ac:dyDescent="0.25">
      <c r="A49" s="6">
        <v>3</v>
      </c>
      <c r="B49" s="6" t="s">
        <v>60</v>
      </c>
      <c r="C49" s="6" t="s">
        <v>65</v>
      </c>
      <c r="D49">
        <v>0.58766994989749399</v>
      </c>
    </row>
    <row r="50" spans="1:4" x14ac:dyDescent="0.25">
      <c r="A50" s="6">
        <v>5</v>
      </c>
      <c r="B50" s="6" t="s">
        <v>60</v>
      </c>
      <c r="C50" s="6" t="s">
        <v>65</v>
      </c>
      <c r="D50">
        <v>0.59937788746323062</v>
      </c>
    </row>
    <row r="51" spans="1:4" x14ac:dyDescent="0.25">
      <c r="A51" s="6">
        <v>10</v>
      </c>
      <c r="B51" s="6" t="s">
        <v>60</v>
      </c>
      <c r="C51" s="6" t="s">
        <v>65</v>
      </c>
      <c r="D51">
        <v>0.53318722551823239</v>
      </c>
    </row>
    <row r="52" spans="1:4" x14ac:dyDescent="0.25">
      <c r="A52" s="6">
        <v>30</v>
      </c>
      <c r="B52" s="6" t="s">
        <v>60</v>
      </c>
      <c r="C52" s="6" t="s">
        <v>65</v>
      </c>
      <c r="D52">
        <v>0.4126349493641826</v>
      </c>
    </row>
    <row r="53" spans="1:4" x14ac:dyDescent="0.25">
      <c r="A53" s="6">
        <v>60</v>
      </c>
      <c r="B53" s="6" t="s">
        <v>60</v>
      </c>
      <c r="C53" s="6" t="s">
        <v>65</v>
      </c>
      <c r="D53">
        <v>0.24206217272568883</v>
      </c>
    </row>
    <row r="54" spans="1:4" x14ac:dyDescent="0.25">
      <c r="A54" s="6">
        <v>120</v>
      </c>
      <c r="B54" s="6" t="s">
        <v>60</v>
      </c>
      <c r="C54" s="6" t="s">
        <v>65</v>
      </c>
      <c r="D54">
        <v>0.10525481932433529</v>
      </c>
    </row>
    <row r="55" spans="1:4" x14ac:dyDescent="0.25">
      <c r="A55" s="6">
        <v>0</v>
      </c>
      <c r="B55" s="6" t="s">
        <v>61</v>
      </c>
      <c r="C55" s="6" t="s">
        <v>65</v>
      </c>
      <c r="D55">
        <v>1</v>
      </c>
    </row>
    <row r="56" spans="1:4" x14ac:dyDescent="0.25">
      <c r="A56" s="6">
        <v>1</v>
      </c>
      <c r="B56" s="6" t="s">
        <v>61</v>
      </c>
      <c r="C56" s="6" t="s">
        <v>65</v>
      </c>
      <c r="D56">
        <v>0.55330795385402431</v>
      </c>
    </row>
    <row r="57" spans="1:4" x14ac:dyDescent="0.25">
      <c r="A57" s="6">
        <v>3</v>
      </c>
      <c r="B57" s="6" t="s">
        <v>61</v>
      </c>
      <c r="C57" s="6" t="s">
        <v>65</v>
      </c>
      <c r="D57">
        <v>0.62052616751210166</v>
      </c>
    </row>
    <row r="58" spans="1:4" x14ac:dyDescent="0.25">
      <c r="A58" s="6">
        <v>5</v>
      </c>
      <c r="B58" s="6" t="s">
        <v>61</v>
      </c>
      <c r="C58" s="6" t="s">
        <v>65</v>
      </c>
      <c r="D58">
        <v>0.61350527865456927</v>
      </c>
    </row>
    <row r="59" spans="1:4" x14ac:dyDescent="0.25">
      <c r="A59" s="6">
        <v>10</v>
      </c>
      <c r="B59" s="6" t="s">
        <v>61</v>
      </c>
      <c r="C59" s="6" t="s">
        <v>65</v>
      </c>
      <c r="D59">
        <v>0.71855736161734007</v>
      </c>
    </row>
    <row r="60" spans="1:4" x14ac:dyDescent="0.25">
      <c r="A60" s="6">
        <v>30</v>
      </c>
      <c r="B60" s="6" t="s">
        <v>61</v>
      </c>
      <c r="C60" s="6" t="s">
        <v>65</v>
      </c>
      <c r="D60">
        <v>0.69897737422713624</v>
      </c>
    </row>
    <row r="61" spans="1:4" x14ac:dyDescent="0.25">
      <c r="A61" s="6">
        <v>60</v>
      </c>
      <c r="B61" s="6" t="s">
        <v>61</v>
      </c>
      <c r="C61" s="6" t="s">
        <v>65</v>
      </c>
      <c r="D61">
        <v>0.66523782312736979</v>
      </c>
    </row>
    <row r="62" spans="1:4" x14ac:dyDescent="0.25">
      <c r="A62" s="6">
        <v>120</v>
      </c>
      <c r="B62" s="6" t="s">
        <v>61</v>
      </c>
      <c r="C62" s="6" t="s">
        <v>65</v>
      </c>
      <c r="D62">
        <v>0.66981409206503395</v>
      </c>
    </row>
    <row r="63" spans="1:4" x14ac:dyDescent="0.25">
      <c r="A63" s="6">
        <v>0</v>
      </c>
      <c r="B63" s="6" t="s">
        <v>63</v>
      </c>
      <c r="C63" s="6" t="s">
        <v>65</v>
      </c>
      <c r="D63">
        <v>1</v>
      </c>
    </row>
    <row r="64" spans="1:4" x14ac:dyDescent="0.25">
      <c r="A64" s="6">
        <v>1</v>
      </c>
      <c r="B64" s="6" t="s">
        <v>63</v>
      </c>
      <c r="C64" s="6" t="s">
        <v>65</v>
      </c>
      <c r="D64">
        <v>0.7538372273059506</v>
      </c>
    </row>
    <row r="65" spans="1:4" x14ac:dyDescent="0.25">
      <c r="A65" s="6">
        <v>3</v>
      </c>
      <c r="B65" s="6" t="s">
        <v>63</v>
      </c>
      <c r="C65" s="6" t="s">
        <v>65</v>
      </c>
      <c r="D65">
        <v>0.74073604655282588</v>
      </c>
    </row>
    <row r="66" spans="1:4" x14ac:dyDescent="0.25">
      <c r="A66" s="6">
        <v>5</v>
      </c>
      <c r="B66" s="6" t="s">
        <v>63</v>
      </c>
      <c r="C66" s="6" t="s">
        <v>65</v>
      </c>
      <c r="D66">
        <v>0.7277543003555631</v>
      </c>
    </row>
    <row r="67" spans="1:4" x14ac:dyDescent="0.25">
      <c r="A67" s="6">
        <v>10</v>
      </c>
      <c r="B67" s="6" t="s">
        <v>63</v>
      </c>
      <c r="C67" s="6" t="s">
        <v>65</v>
      </c>
      <c r="D67">
        <v>0.65137542011801908</v>
      </c>
    </row>
    <row r="68" spans="1:4" x14ac:dyDescent="0.25">
      <c r="A68" s="6">
        <v>30</v>
      </c>
      <c r="B68" s="6" t="s">
        <v>63</v>
      </c>
      <c r="C68" s="6" t="s">
        <v>65</v>
      </c>
      <c r="D68">
        <v>0.50847528597431024</v>
      </c>
    </row>
    <row r="69" spans="1:4" x14ac:dyDescent="0.25">
      <c r="A69" s="6">
        <v>60</v>
      </c>
      <c r="B69" s="6" t="s">
        <v>63</v>
      </c>
      <c r="C69" s="6" t="s">
        <v>65</v>
      </c>
      <c r="D69">
        <v>0.3599567971000659</v>
      </c>
    </row>
    <row r="70" spans="1:4" x14ac:dyDescent="0.25">
      <c r="A70" s="6">
        <v>120</v>
      </c>
      <c r="B70" s="6" t="s">
        <v>63</v>
      </c>
      <c r="C70" s="6" t="s">
        <v>65</v>
      </c>
      <c r="D70">
        <v>0.15094465966060255</v>
      </c>
    </row>
    <row r="71" spans="1:4" x14ac:dyDescent="0.25">
      <c r="A71" s="6">
        <v>0</v>
      </c>
      <c r="B71" s="6" t="s">
        <v>60</v>
      </c>
      <c r="C71" s="6" t="s">
        <v>72</v>
      </c>
      <c r="D71">
        <v>1</v>
      </c>
    </row>
    <row r="72" spans="1:4" x14ac:dyDescent="0.25">
      <c r="A72" s="6">
        <v>1</v>
      </c>
      <c r="B72" s="6" t="s">
        <v>60</v>
      </c>
      <c r="C72" s="6" t="s">
        <v>72</v>
      </c>
      <c r="D72">
        <v>0.71748509945862027</v>
      </c>
    </row>
    <row r="73" spans="1:4" x14ac:dyDescent="0.25">
      <c r="A73" s="6">
        <v>3</v>
      </c>
      <c r="B73" s="6" t="s">
        <v>60</v>
      </c>
      <c r="C73" s="6" t="s">
        <v>72</v>
      </c>
      <c r="D73">
        <v>0.68875425961953263</v>
      </c>
    </row>
    <row r="74" spans="1:4" x14ac:dyDescent="0.25">
      <c r="A74" s="6">
        <v>5</v>
      </c>
      <c r="B74" s="6" t="s">
        <v>60</v>
      </c>
      <c r="C74" s="6" t="s">
        <v>72</v>
      </c>
      <c r="D74">
        <v>0.66518344534559182</v>
      </c>
    </row>
    <row r="75" spans="1:4" x14ac:dyDescent="0.25">
      <c r="A75" s="6">
        <v>10</v>
      </c>
      <c r="B75" s="6" t="s">
        <v>60</v>
      </c>
      <c r="C75" s="6" t="s">
        <v>72</v>
      </c>
      <c r="D75">
        <v>0.61498029629296569</v>
      </c>
    </row>
    <row r="76" spans="1:4" x14ac:dyDescent="0.25">
      <c r="A76" s="6">
        <v>30</v>
      </c>
      <c r="B76" s="6" t="s">
        <v>60</v>
      </c>
      <c r="C76" s="6" t="s">
        <v>72</v>
      </c>
      <c r="D76">
        <v>0.4651541733477555</v>
      </c>
    </row>
    <row r="77" spans="1:4" x14ac:dyDescent="0.25">
      <c r="A77" s="6">
        <v>60</v>
      </c>
      <c r="B77" s="6" t="s">
        <v>60</v>
      </c>
      <c r="C77" s="6" t="s">
        <v>72</v>
      </c>
      <c r="D77">
        <v>0.22351808837933704</v>
      </c>
    </row>
    <row r="78" spans="1:4" x14ac:dyDescent="0.25">
      <c r="A78" s="6">
        <v>120</v>
      </c>
      <c r="B78" s="6" t="s">
        <v>60</v>
      </c>
      <c r="C78" s="6" t="s">
        <v>72</v>
      </c>
      <c r="D78">
        <v>8.6994173401490654E-2</v>
      </c>
    </row>
    <row r="79" spans="1:4" x14ac:dyDescent="0.25">
      <c r="A79" s="6">
        <v>0</v>
      </c>
      <c r="B79" s="6" t="s">
        <v>61</v>
      </c>
      <c r="C79" s="6" t="s">
        <v>72</v>
      </c>
      <c r="D79">
        <v>1</v>
      </c>
    </row>
    <row r="80" spans="1:4" x14ac:dyDescent="0.25">
      <c r="A80" s="6">
        <v>1</v>
      </c>
      <c r="B80" s="6" t="s">
        <v>61</v>
      </c>
      <c r="C80" s="6" t="s">
        <v>72</v>
      </c>
      <c r="D80">
        <v>1.0081608243285751</v>
      </c>
    </row>
    <row r="81" spans="1:4" x14ac:dyDescent="0.25">
      <c r="A81" s="6">
        <v>3</v>
      </c>
      <c r="B81" s="6" t="s">
        <v>61</v>
      </c>
      <c r="C81" s="6" t="s">
        <v>72</v>
      </c>
      <c r="D81">
        <v>0.96237242081990659</v>
      </c>
    </row>
    <row r="82" spans="1:4" x14ac:dyDescent="0.25">
      <c r="A82" s="6">
        <v>5</v>
      </c>
      <c r="B82" s="6" t="s">
        <v>61</v>
      </c>
      <c r="C82" s="6" t="s">
        <v>72</v>
      </c>
      <c r="D82">
        <v>0.91124564310383527</v>
      </c>
    </row>
    <row r="83" spans="1:4" x14ac:dyDescent="0.25">
      <c r="A83" s="6">
        <v>10</v>
      </c>
      <c r="B83" s="6" t="s">
        <v>61</v>
      </c>
      <c r="C83" s="6" t="s">
        <v>72</v>
      </c>
      <c r="D83">
        <v>0.97999765933272165</v>
      </c>
    </row>
    <row r="84" spans="1:4" x14ac:dyDescent="0.25">
      <c r="A84" s="6">
        <v>30</v>
      </c>
      <c r="B84" s="6" t="s">
        <v>61</v>
      </c>
      <c r="C84" s="6" t="s">
        <v>72</v>
      </c>
      <c r="D84">
        <v>0.94637314678580886</v>
      </c>
    </row>
    <row r="85" spans="1:4" x14ac:dyDescent="0.25">
      <c r="A85" s="6">
        <v>60</v>
      </c>
      <c r="B85" s="6" t="s">
        <v>61</v>
      </c>
      <c r="C85" s="6" t="s">
        <v>72</v>
      </c>
      <c r="D85">
        <v>0.94701293746514892</v>
      </c>
    </row>
    <row r="86" spans="1:4" x14ac:dyDescent="0.25">
      <c r="A86" s="6">
        <v>120</v>
      </c>
      <c r="B86" s="6" t="s">
        <v>61</v>
      </c>
      <c r="C86" s="6" t="s">
        <v>72</v>
      </c>
      <c r="D86">
        <v>0.9628868141647402</v>
      </c>
    </row>
    <row r="87" spans="1:4" x14ac:dyDescent="0.25">
      <c r="A87" s="6">
        <v>0</v>
      </c>
      <c r="B87" s="6" t="s">
        <v>63</v>
      </c>
      <c r="C87" s="6" t="s">
        <v>72</v>
      </c>
      <c r="D87">
        <v>1</v>
      </c>
    </row>
    <row r="88" spans="1:4" x14ac:dyDescent="0.25">
      <c r="A88" s="6">
        <v>1</v>
      </c>
      <c r="B88" s="6" t="s">
        <v>63</v>
      </c>
      <c r="C88" s="6" t="s">
        <v>72</v>
      </c>
      <c r="D88">
        <v>0.83789406209988548</v>
      </c>
    </row>
    <row r="89" spans="1:4" x14ac:dyDescent="0.25">
      <c r="A89" s="6">
        <v>3</v>
      </c>
      <c r="B89" s="6" t="s">
        <v>63</v>
      </c>
      <c r="C89" s="6" t="s">
        <v>72</v>
      </c>
      <c r="D89">
        <v>0.8215653713108102</v>
      </c>
    </row>
    <row r="90" spans="1:4" x14ac:dyDescent="0.25">
      <c r="A90" s="6">
        <v>5</v>
      </c>
      <c r="B90" s="6" t="s">
        <v>63</v>
      </c>
      <c r="C90" s="6" t="s">
        <v>72</v>
      </c>
      <c r="D90">
        <v>0.83840275449753043</v>
      </c>
    </row>
    <row r="91" spans="1:4" x14ac:dyDescent="0.25">
      <c r="A91" s="6">
        <v>10</v>
      </c>
      <c r="B91" s="6" t="s">
        <v>63</v>
      </c>
      <c r="C91" s="6" t="s">
        <v>72</v>
      </c>
      <c r="D91">
        <v>0.82413839647761811</v>
      </c>
    </row>
    <row r="92" spans="1:4" x14ac:dyDescent="0.25">
      <c r="A92" s="6">
        <v>30</v>
      </c>
      <c r="B92" s="6" t="s">
        <v>63</v>
      </c>
      <c r="C92" s="6" t="s">
        <v>72</v>
      </c>
      <c r="D92">
        <v>0.68934877496433355</v>
      </c>
    </row>
    <row r="93" spans="1:4" x14ac:dyDescent="0.25">
      <c r="A93" s="6">
        <v>60</v>
      </c>
      <c r="B93" s="6" t="s">
        <v>63</v>
      </c>
      <c r="C93" s="6" t="s">
        <v>72</v>
      </c>
      <c r="D93">
        <v>0.491191627104895</v>
      </c>
    </row>
    <row r="94" spans="1:4" x14ac:dyDescent="0.25">
      <c r="A94" s="6">
        <v>120</v>
      </c>
      <c r="B94" s="6" t="s">
        <v>63</v>
      </c>
      <c r="C94" s="6" t="s">
        <v>72</v>
      </c>
      <c r="D94">
        <v>0.22109651534553551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selection activeCell="G25" sqref="A1:G25"/>
    </sheetView>
  </sheetViews>
  <sheetFormatPr defaultRowHeight="15" x14ac:dyDescent="0.25"/>
  <cols>
    <col min="2" max="2" width="13.140625" customWidth="1"/>
  </cols>
  <sheetData>
    <row r="1" spans="1:7" x14ac:dyDescent="0.25">
      <c r="A1" s="6" t="s">
        <v>69</v>
      </c>
      <c r="B1" s="6" t="s">
        <v>66</v>
      </c>
      <c r="C1" s="6" t="s">
        <v>62</v>
      </c>
      <c r="D1" t="s">
        <v>65</v>
      </c>
      <c r="E1" t="s">
        <v>72</v>
      </c>
      <c r="F1" t="s">
        <v>70</v>
      </c>
      <c r="G1" t="s">
        <v>71</v>
      </c>
    </row>
    <row r="2" spans="1:7" x14ac:dyDescent="0.25">
      <c r="A2" s="6">
        <v>0</v>
      </c>
      <c r="B2" s="6" t="s">
        <v>60</v>
      </c>
      <c r="C2" s="6">
        <v>1</v>
      </c>
      <c r="D2" s="6">
        <v>1</v>
      </c>
      <c r="E2" s="6">
        <v>1</v>
      </c>
      <c r="F2">
        <f>AVERAGE(C2:E2)</f>
        <v>1</v>
      </c>
      <c r="G2">
        <f>_xlfn.STDEV.S(C2:E2)</f>
        <v>0</v>
      </c>
    </row>
    <row r="3" spans="1:7" x14ac:dyDescent="0.25">
      <c r="A3" s="6">
        <v>1</v>
      </c>
      <c r="B3" s="6" t="s">
        <v>60</v>
      </c>
      <c r="C3" s="6">
        <v>1.266346855963177</v>
      </c>
      <c r="D3" s="6">
        <v>0.70059575749991654</v>
      </c>
      <c r="E3" s="6">
        <v>0.71748509945862027</v>
      </c>
      <c r="F3" s="6">
        <f t="shared" ref="F3:F25" si="0">AVERAGE(C3:E3)</f>
        <v>0.8948092376405713</v>
      </c>
      <c r="G3" s="6">
        <f t="shared" ref="G3:G25" si="1">_xlfn.STDEV.S(C3:E3)</f>
        <v>0.32187181274472454</v>
      </c>
    </row>
    <row r="4" spans="1:7" x14ac:dyDescent="0.25">
      <c r="A4" s="6">
        <v>3</v>
      </c>
      <c r="B4" s="6" t="s">
        <v>60</v>
      </c>
      <c r="C4" s="6">
        <v>1.5096891813816631</v>
      </c>
      <c r="D4" s="6">
        <v>0.58766994989749399</v>
      </c>
      <c r="E4" s="6">
        <v>0.68875425961953263</v>
      </c>
      <c r="F4" s="6">
        <f t="shared" si="0"/>
        <v>0.9287044636328966</v>
      </c>
      <c r="G4" s="6">
        <f t="shared" si="1"/>
        <v>0.50567968231995009</v>
      </c>
    </row>
    <row r="5" spans="1:7" x14ac:dyDescent="0.25">
      <c r="A5" s="6">
        <v>5</v>
      </c>
      <c r="B5" s="6" t="s">
        <v>60</v>
      </c>
      <c r="C5" s="6">
        <v>1.3381938508032121</v>
      </c>
      <c r="D5" s="6">
        <v>0.59937788746323062</v>
      </c>
      <c r="E5" s="6">
        <v>0.66518344534559182</v>
      </c>
      <c r="F5" s="6">
        <f t="shared" si="0"/>
        <v>0.86758506120401158</v>
      </c>
      <c r="G5" s="6">
        <f t="shared" si="1"/>
        <v>0.4088851519657698</v>
      </c>
    </row>
    <row r="6" spans="1:7" x14ac:dyDescent="0.25">
      <c r="A6" s="6">
        <v>10</v>
      </c>
      <c r="B6" s="6" t="s">
        <v>60</v>
      </c>
      <c r="C6" s="6">
        <v>1.421029799964288</v>
      </c>
      <c r="D6" s="6">
        <v>0.53318722551823239</v>
      </c>
      <c r="E6" s="6">
        <v>0.61498029629296569</v>
      </c>
      <c r="F6" s="6">
        <f t="shared" si="0"/>
        <v>0.85639910725849544</v>
      </c>
      <c r="G6" s="6">
        <f t="shared" si="1"/>
        <v>0.49069174739927862</v>
      </c>
    </row>
    <row r="7" spans="1:7" x14ac:dyDescent="0.25">
      <c r="A7" s="6">
        <v>30</v>
      </c>
      <c r="B7" s="6" t="s">
        <v>60</v>
      </c>
      <c r="C7" s="6">
        <v>1.0310993957716228</v>
      </c>
      <c r="D7" s="6">
        <v>0.4126349493641826</v>
      </c>
      <c r="E7" s="6">
        <v>0.4651541733477555</v>
      </c>
      <c r="F7" s="6">
        <f t="shared" si="0"/>
        <v>0.63629617282785367</v>
      </c>
      <c r="G7" s="6">
        <f t="shared" si="1"/>
        <v>0.34291654357445334</v>
      </c>
    </row>
    <row r="8" spans="1:7" x14ac:dyDescent="0.25">
      <c r="A8" s="6">
        <v>60</v>
      </c>
      <c r="B8" s="6" t="s">
        <v>60</v>
      </c>
      <c r="C8" s="6">
        <v>0.58700603431414355</v>
      </c>
      <c r="D8" s="6">
        <v>0.24206217272568883</v>
      </c>
      <c r="E8" s="6">
        <v>0.22351808837933704</v>
      </c>
      <c r="F8" s="6">
        <f t="shared" si="0"/>
        <v>0.35086209847305644</v>
      </c>
      <c r="G8" s="6">
        <f t="shared" si="1"/>
        <v>0.20471673012226124</v>
      </c>
    </row>
    <row r="9" spans="1:7" x14ac:dyDescent="0.25">
      <c r="A9" s="6">
        <v>120</v>
      </c>
      <c r="B9" s="6" t="s">
        <v>60</v>
      </c>
      <c r="C9" s="6">
        <v>0.10639543230935603</v>
      </c>
      <c r="D9" s="6">
        <v>0.10525481932433529</v>
      </c>
      <c r="E9" s="6">
        <v>8.6994173401490654E-2</v>
      </c>
      <c r="F9" s="6">
        <f t="shared" si="0"/>
        <v>9.9548141678393987E-2</v>
      </c>
      <c r="G9" s="6">
        <f t="shared" si="1"/>
        <v>1.088700322028615E-2</v>
      </c>
    </row>
    <row r="10" spans="1:7" x14ac:dyDescent="0.25">
      <c r="A10" s="6">
        <v>0</v>
      </c>
      <c r="B10" s="6" t="s">
        <v>61</v>
      </c>
      <c r="C10" s="6">
        <v>1</v>
      </c>
      <c r="D10" s="6">
        <v>1</v>
      </c>
      <c r="E10" s="6">
        <v>1</v>
      </c>
      <c r="F10" s="6">
        <f t="shared" si="0"/>
        <v>1</v>
      </c>
      <c r="G10" s="6">
        <f t="shared" si="1"/>
        <v>0</v>
      </c>
    </row>
    <row r="11" spans="1:7" x14ac:dyDescent="0.25">
      <c r="A11" s="6">
        <v>1</v>
      </c>
      <c r="B11" s="6" t="s">
        <v>61</v>
      </c>
      <c r="C11" s="6">
        <v>0.80181699549591889</v>
      </c>
      <c r="D11" s="6">
        <v>0.55330795385402431</v>
      </c>
      <c r="E11" s="6">
        <v>1.0081608243285751</v>
      </c>
      <c r="F11" s="6">
        <f t="shared" si="0"/>
        <v>0.787761924559506</v>
      </c>
      <c r="G11" s="6">
        <f t="shared" si="1"/>
        <v>0.22775193129588533</v>
      </c>
    </row>
    <row r="12" spans="1:7" x14ac:dyDescent="0.25">
      <c r="A12" s="6">
        <v>3</v>
      </c>
      <c r="B12" s="6" t="s">
        <v>61</v>
      </c>
      <c r="C12" s="6">
        <v>0.8441306077560129</v>
      </c>
      <c r="D12" s="6">
        <v>0.62052616751210166</v>
      </c>
      <c r="E12" s="6">
        <v>0.96237242081990659</v>
      </c>
      <c r="F12" s="6">
        <f t="shared" si="0"/>
        <v>0.80900973202934034</v>
      </c>
      <c r="G12" s="6">
        <f t="shared" si="1"/>
        <v>0.17360824334979671</v>
      </c>
    </row>
    <row r="13" spans="1:7" x14ac:dyDescent="0.25">
      <c r="A13" s="6">
        <v>5</v>
      </c>
      <c r="B13" s="6" t="s">
        <v>61</v>
      </c>
      <c r="C13" s="6">
        <v>0.83778330447907823</v>
      </c>
      <c r="D13" s="6">
        <v>0.61350527865456927</v>
      </c>
      <c r="E13" s="6">
        <v>0.91124564310383527</v>
      </c>
      <c r="F13" s="6">
        <f t="shared" si="0"/>
        <v>0.78751140874582759</v>
      </c>
      <c r="G13" s="6">
        <f t="shared" si="1"/>
        <v>0.15510570196178036</v>
      </c>
    </row>
    <row r="14" spans="1:7" x14ac:dyDescent="0.25">
      <c r="A14" s="6">
        <v>10</v>
      </c>
      <c r="B14" s="6" t="s">
        <v>61</v>
      </c>
      <c r="C14" s="6">
        <v>0.96232340470464905</v>
      </c>
      <c r="D14" s="6">
        <v>0.71855736161734007</v>
      </c>
      <c r="E14" s="6">
        <v>0.97999765933272165</v>
      </c>
      <c r="F14" s="6">
        <f t="shared" si="0"/>
        <v>0.88695947521823693</v>
      </c>
      <c r="G14" s="6">
        <f t="shared" si="1"/>
        <v>0.14610800360726789</v>
      </c>
    </row>
    <row r="15" spans="1:7" x14ac:dyDescent="0.25">
      <c r="A15" s="6">
        <v>30</v>
      </c>
      <c r="B15" s="6" t="s">
        <v>61</v>
      </c>
      <c r="C15" s="6">
        <v>1.0412714726779593</v>
      </c>
      <c r="D15" s="6">
        <v>0.69897737422713624</v>
      </c>
      <c r="E15" s="6">
        <v>0.94637314678580886</v>
      </c>
      <c r="F15" s="6">
        <f t="shared" si="0"/>
        <v>0.89554066456363479</v>
      </c>
      <c r="G15" s="6">
        <f t="shared" si="1"/>
        <v>0.17671804773484859</v>
      </c>
    </row>
    <row r="16" spans="1:7" x14ac:dyDescent="0.25">
      <c r="A16" s="6">
        <v>60</v>
      </c>
      <c r="B16" s="6" t="s">
        <v>61</v>
      </c>
      <c r="C16" s="6">
        <v>1.1031019360805068</v>
      </c>
      <c r="D16" s="6">
        <v>0.66523782312736979</v>
      </c>
      <c r="E16" s="6">
        <v>0.94701293746514892</v>
      </c>
      <c r="F16" s="6">
        <f t="shared" si="0"/>
        <v>0.9051175655576752</v>
      </c>
      <c r="G16" s="6">
        <f t="shared" si="1"/>
        <v>0.22191814255150141</v>
      </c>
    </row>
    <row r="17" spans="1:7" x14ac:dyDescent="0.25">
      <c r="A17" s="6">
        <v>120</v>
      </c>
      <c r="B17" s="6" t="s">
        <v>61</v>
      </c>
      <c r="C17" s="6">
        <v>0.99080666435356668</v>
      </c>
      <c r="D17" s="6">
        <v>0.66981409206503395</v>
      </c>
      <c r="E17" s="6">
        <v>0.9628868141647402</v>
      </c>
      <c r="F17" s="6">
        <f t="shared" si="0"/>
        <v>0.87450252352778024</v>
      </c>
      <c r="G17" s="6">
        <f t="shared" si="1"/>
        <v>0.17781421481324625</v>
      </c>
    </row>
    <row r="18" spans="1:7" x14ac:dyDescent="0.25">
      <c r="A18" s="6">
        <v>0</v>
      </c>
      <c r="B18" s="6" t="s">
        <v>63</v>
      </c>
      <c r="C18" s="6">
        <v>1</v>
      </c>
      <c r="D18" s="6">
        <v>1</v>
      </c>
      <c r="E18" s="6">
        <v>1</v>
      </c>
      <c r="F18" s="6">
        <f t="shared" si="0"/>
        <v>1</v>
      </c>
      <c r="G18" s="6">
        <f t="shared" si="1"/>
        <v>0</v>
      </c>
    </row>
    <row r="19" spans="1:7" x14ac:dyDescent="0.25">
      <c r="A19" s="6">
        <v>1</v>
      </c>
      <c r="B19" s="6" t="s">
        <v>63</v>
      </c>
      <c r="C19" s="6">
        <v>0.78489546440356839</v>
      </c>
      <c r="D19" s="6">
        <v>0.7538372273059506</v>
      </c>
      <c r="E19" s="6">
        <v>0.83789406209988548</v>
      </c>
      <c r="F19" s="6">
        <f t="shared" si="0"/>
        <v>0.79220891793646819</v>
      </c>
      <c r="G19" s="6">
        <f t="shared" si="1"/>
        <v>4.2502974258598995E-2</v>
      </c>
    </row>
    <row r="20" spans="1:7" x14ac:dyDescent="0.25">
      <c r="A20" s="6">
        <v>3</v>
      </c>
      <c r="B20" s="6" t="s">
        <v>63</v>
      </c>
      <c r="C20" s="6">
        <v>0.79796599991742256</v>
      </c>
      <c r="D20" s="6">
        <v>0.74073604655282588</v>
      </c>
      <c r="E20" s="6">
        <v>0.8215653713108102</v>
      </c>
      <c r="F20" s="6">
        <f t="shared" si="0"/>
        <v>0.78675580592701955</v>
      </c>
      <c r="G20" s="6">
        <f t="shared" si="1"/>
        <v>4.1564363007085471E-2</v>
      </c>
    </row>
    <row r="21" spans="1:7" x14ac:dyDescent="0.25">
      <c r="A21" s="6">
        <v>5</v>
      </c>
      <c r="B21" s="6" t="s">
        <v>63</v>
      </c>
      <c r="C21" s="6">
        <v>0.67546530467800348</v>
      </c>
      <c r="D21" s="6">
        <v>0.7277543003555631</v>
      </c>
      <c r="E21" s="6">
        <v>0.83840275449753043</v>
      </c>
      <c r="F21" s="6">
        <f t="shared" si="0"/>
        <v>0.7472074531770323</v>
      </c>
      <c r="G21" s="6">
        <f t="shared" si="1"/>
        <v>8.319237948540896E-2</v>
      </c>
    </row>
    <row r="22" spans="1:7" x14ac:dyDescent="0.25">
      <c r="A22" s="6">
        <v>10</v>
      </c>
      <c r="B22" s="6" t="s">
        <v>63</v>
      </c>
      <c r="C22" s="6">
        <v>0.74854101937038142</v>
      </c>
      <c r="D22" s="6">
        <v>0.65137542011801908</v>
      </c>
      <c r="E22" s="6">
        <v>0.82413839647761811</v>
      </c>
      <c r="F22" s="6">
        <f t="shared" si="0"/>
        <v>0.74135161198867294</v>
      </c>
      <c r="G22" s="6">
        <f t="shared" si="1"/>
        <v>8.6605584023387125E-2</v>
      </c>
    </row>
    <row r="23" spans="1:7" x14ac:dyDescent="0.25">
      <c r="A23" s="6">
        <v>30</v>
      </c>
      <c r="B23" s="6" t="s">
        <v>63</v>
      </c>
      <c r="C23" s="6">
        <v>0.57678248751664574</v>
      </c>
      <c r="D23" s="6">
        <v>0.50847528597431024</v>
      </c>
      <c r="E23" s="6">
        <v>0.68934877496433355</v>
      </c>
      <c r="F23" s="6">
        <f t="shared" si="0"/>
        <v>0.59153551615176314</v>
      </c>
      <c r="G23" s="6">
        <f t="shared" si="1"/>
        <v>9.1334788800803909E-2</v>
      </c>
    </row>
    <row r="24" spans="1:7" x14ac:dyDescent="0.25">
      <c r="A24" s="6">
        <v>60</v>
      </c>
      <c r="B24" s="6" t="s">
        <v>63</v>
      </c>
      <c r="C24" s="6">
        <v>0.37952074267691083</v>
      </c>
      <c r="D24" s="6">
        <v>0.3599567971000659</v>
      </c>
      <c r="E24" s="6">
        <v>0.491191627104895</v>
      </c>
      <c r="F24" s="6">
        <f t="shared" si="0"/>
        <v>0.41022305562729056</v>
      </c>
      <c r="G24" s="6">
        <f t="shared" si="1"/>
        <v>7.0799852873974459E-2</v>
      </c>
    </row>
    <row r="25" spans="1:7" x14ac:dyDescent="0.25">
      <c r="A25" s="6">
        <v>120</v>
      </c>
      <c r="B25" s="6" t="s">
        <v>63</v>
      </c>
      <c r="C25" s="6">
        <v>0.10066005302565835</v>
      </c>
      <c r="D25" s="6">
        <v>0.15094465966060255</v>
      </c>
      <c r="E25" s="6">
        <v>0.22109651534553551</v>
      </c>
      <c r="F25" s="6">
        <f t="shared" si="0"/>
        <v>0.1575670760105988</v>
      </c>
      <c r="G25" s="6">
        <f t="shared" si="1"/>
        <v>6.0490723774528653E-2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tabSelected="1" workbookViewId="0">
      <selection activeCell="H14" sqref="H14"/>
    </sheetView>
  </sheetViews>
  <sheetFormatPr defaultRowHeight="15" x14ac:dyDescent="0.25"/>
  <sheetData>
    <row r="1" spans="1:7" x14ac:dyDescent="0.25">
      <c r="A1" s="8" t="s">
        <v>69</v>
      </c>
      <c r="B1" s="8" t="s">
        <v>66</v>
      </c>
      <c r="C1" s="8" t="s">
        <v>64</v>
      </c>
      <c r="D1" s="8" t="s">
        <v>65</v>
      </c>
      <c r="E1" s="8" t="s">
        <v>72</v>
      </c>
      <c r="F1" s="8" t="s">
        <v>70</v>
      </c>
      <c r="G1" s="8" t="s">
        <v>71</v>
      </c>
    </row>
    <row r="2" spans="1:7" x14ac:dyDescent="0.25">
      <c r="A2" s="8">
        <v>0</v>
      </c>
      <c r="B2" s="8" t="s">
        <v>60</v>
      </c>
      <c r="C2" s="8">
        <v>1</v>
      </c>
      <c r="D2" s="8">
        <v>1</v>
      </c>
      <c r="E2" s="8">
        <v>1</v>
      </c>
      <c r="F2" s="8">
        <f>AVERAGE(C2:E2)</f>
        <v>1</v>
      </c>
      <c r="G2" s="8">
        <f>_xlfn.STDEV.S(C2:E2)</f>
        <v>0</v>
      </c>
    </row>
    <row r="3" spans="1:7" x14ac:dyDescent="0.25">
      <c r="A3" s="8">
        <v>1</v>
      </c>
      <c r="B3" s="8" t="s">
        <v>60</v>
      </c>
      <c r="C3" s="8">
        <v>1.0066344004439385</v>
      </c>
      <c r="D3" s="8">
        <v>0.70059575749991654</v>
      </c>
      <c r="E3" s="8">
        <v>0.71748509945862027</v>
      </c>
      <c r="F3" s="8">
        <f t="shared" ref="F3:F25" si="0">AVERAGE(C3:E3)</f>
        <v>0.80823841913415839</v>
      </c>
      <c r="G3" s="8">
        <f t="shared" ref="G3:G25" si="1">_xlfn.STDEV.S(C3:E3)</f>
        <v>0.17202336038414223</v>
      </c>
    </row>
    <row r="4" spans="1:7" x14ac:dyDescent="0.25">
      <c r="A4" s="8">
        <v>3</v>
      </c>
      <c r="B4" s="8" t="s">
        <v>60</v>
      </c>
      <c r="C4" s="8">
        <v>0.87525428681768824</v>
      </c>
      <c r="D4" s="8">
        <v>0.58766994989749399</v>
      </c>
      <c r="E4" s="8">
        <v>0.68875425961953263</v>
      </c>
      <c r="F4" s="8">
        <f t="shared" si="0"/>
        <v>0.71722616544490503</v>
      </c>
      <c r="G4" s="8">
        <f t="shared" si="1"/>
        <v>0.14589096879674732</v>
      </c>
    </row>
    <row r="5" spans="1:7" x14ac:dyDescent="0.25">
      <c r="A5" s="8">
        <v>5</v>
      </c>
      <c r="B5" s="8" t="s">
        <v>60</v>
      </c>
      <c r="C5" s="8">
        <v>0.87555418925037165</v>
      </c>
      <c r="D5" s="8">
        <v>0.59937788746323062</v>
      </c>
      <c r="E5" s="8">
        <v>0.66518344534559182</v>
      </c>
      <c r="F5" s="8">
        <f t="shared" si="0"/>
        <v>0.71337184068639792</v>
      </c>
      <c r="G5" s="8">
        <f t="shared" si="1"/>
        <v>0.14425646779727763</v>
      </c>
    </row>
    <row r="6" spans="1:7" x14ac:dyDescent="0.25">
      <c r="A6" s="8">
        <v>10</v>
      </c>
      <c r="B6" s="8" t="s">
        <v>60</v>
      </c>
      <c r="C6" s="8">
        <v>0.74641026507451125</v>
      </c>
      <c r="D6" s="8">
        <v>0.53318722551823239</v>
      </c>
      <c r="E6" s="8">
        <v>0.61498029629296569</v>
      </c>
      <c r="F6" s="8">
        <f t="shared" si="0"/>
        <v>0.63152592896190318</v>
      </c>
      <c r="G6" s="8">
        <f t="shared" si="1"/>
        <v>0.10757013814119677</v>
      </c>
    </row>
    <row r="7" spans="1:7" x14ac:dyDescent="0.25">
      <c r="A7" s="8">
        <v>30</v>
      </c>
      <c r="B7" s="8" t="s">
        <v>60</v>
      </c>
      <c r="C7" s="8">
        <v>0.55474380139636004</v>
      </c>
      <c r="D7" s="8">
        <v>0.4126349493641826</v>
      </c>
      <c r="E7" s="8">
        <v>0.4651541733477555</v>
      </c>
      <c r="F7" s="8">
        <f t="shared" si="0"/>
        <v>0.4775109747027661</v>
      </c>
      <c r="G7" s="8">
        <f t="shared" si="1"/>
        <v>7.1855753849439333E-2</v>
      </c>
    </row>
    <row r="8" spans="1:7" x14ac:dyDescent="0.25">
      <c r="A8" s="8">
        <v>60</v>
      </c>
      <c r="B8" s="8" t="s">
        <v>60</v>
      </c>
      <c r="D8" s="8">
        <v>0.24206217272568883</v>
      </c>
      <c r="E8" s="8">
        <v>0.22351808837933704</v>
      </c>
      <c r="F8" s="8">
        <f t="shared" si="0"/>
        <v>0.23279013055251294</v>
      </c>
      <c r="G8" s="8">
        <f t="shared" si="1"/>
        <v>1.3112647792200661E-2</v>
      </c>
    </row>
    <row r="9" spans="1:7" x14ac:dyDescent="0.25">
      <c r="A9" s="8">
        <v>120</v>
      </c>
      <c r="B9" s="8" t="s">
        <v>60</v>
      </c>
      <c r="C9" s="8">
        <v>9.3323659601565412E-2</v>
      </c>
      <c r="D9" s="8">
        <v>0.10525481932433529</v>
      </c>
      <c r="E9" s="8">
        <v>8.6994173401490654E-2</v>
      </c>
      <c r="F9" s="8">
        <f>AVERAGE(C9:E9)</f>
        <v>9.5190884109130458E-2</v>
      </c>
      <c r="G9" s="8">
        <f>_xlfn.STDEV.S(C9:E9)</f>
        <v>9.2724156993263772E-3</v>
      </c>
    </row>
    <row r="10" spans="1:7" x14ac:dyDescent="0.25">
      <c r="A10" s="8">
        <v>0</v>
      </c>
      <c r="B10" s="8" t="s">
        <v>61</v>
      </c>
      <c r="C10" s="8">
        <v>1</v>
      </c>
      <c r="D10" s="8">
        <v>1</v>
      </c>
      <c r="E10" s="8">
        <v>1</v>
      </c>
      <c r="F10" s="8">
        <f t="shared" si="0"/>
        <v>1</v>
      </c>
      <c r="G10" s="8">
        <f t="shared" si="1"/>
        <v>0</v>
      </c>
    </row>
    <row r="11" spans="1:7" x14ac:dyDescent="0.25">
      <c r="A11" s="8">
        <v>1</v>
      </c>
      <c r="B11" s="8" t="s">
        <v>61</v>
      </c>
      <c r="C11" s="8">
        <v>0.89073071935187376</v>
      </c>
      <c r="D11" s="8">
        <v>0.55330795385402431</v>
      </c>
      <c r="E11" s="8">
        <v>1.0081608243285751</v>
      </c>
      <c r="F11" s="8">
        <f t="shared" si="0"/>
        <v>0.81739983251149118</v>
      </c>
      <c r="G11" s="8">
        <f t="shared" si="1"/>
        <v>0.23612676186390266</v>
      </c>
    </row>
    <row r="12" spans="1:7" x14ac:dyDescent="0.25">
      <c r="A12" s="8">
        <v>3</v>
      </c>
      <c r="B12" s="8" t="s">
        <v>61</v>
      </c>
      <c r="C12" s="8">
        <v>0.82585427843360415</v>
      </c>
      <c r="D12" s="8">
        <v>0.62052616751210166</v>
      </c>
      <c r="E12" s="8">
        <v>0.96237242081990659</v>
      </c>
      <c r="F12" s="8">
        <f t="shared" si="0"/>
        <v>0.80291762225520413</v>
      </c>
      <c r="G12" s="8">
        <f t="shared" si="1"/>
        <v>0.17207348102665482</v>
      </c>
    </row>
    <row r="13" spans="1:7" x14ac:dyDescent="0.25">
      <c r="A13" s="8">
        <v>5</v>
      </c>
      <c r="B13" s="8" t="s">
        <v>61</v>
      </c>
      <c r="C13" s="8">
        <v>0.77881921155200218</v>
      </c>
      <c r="D13" s="8">
        <v>0.61350527865456927</v>
      </c>
      <c r="E13" s="8">
        <v>0.91124564310383527</v>
      </c>
      <c r="F13" s="8">
        <f t="shared" si="0"/>
        <v>0.76785671110346898</v>
      </c>
      <c r="G13" s="8">
        <f t="shared" si="1"/>
        <v>0.14917259623556373</v>
      </c>
    </row>
    <row r="14" spans="1:7" x14ac:dyDescent="0.25">
      <c r="A14" s="8">
        <v>10</v>
      </c>
      <c r="B14" s="8" t="s">
        <v>61</v>
      </c>
      <c r="C14" s="8">
        <v>0.84010778488906601</v>
      </c>
      <c r="D14" s="8">
        <v>0.71855736161734007</v>
      </c>
      <c r="E14" s="8">
        <v>0.97999765933272165</v>
      </c>
      <c r="F14" s="8">
        <f t="shared" si="0"/>
        <v>0.84622093527970932</v>
      </c>
      <c r="G14" s="8">
        <f t="shared" si="1"/>
        <v>0.13082731088404562</v>
      </c>
    </row>
    <row r="15" spans="1:7" x14ac:dyDescent="0.25">
      <c r="A15" s="8">
        <v>30</v>
      </c>
      <c r="B15" s="8" t="s">
        <v>61</v>
      </c>
      <c r="C15" s="8">
        <v>0.8800472236299357</v>
      </c>
      <c r="D15" s="8">
        <v>0.69897737422713624</v>
      </c>
      <c r="E15" s="8">
        <v>0.94637314678580886</v>
      </c>
      <c r="F15" s="8">
        <f t="shared" si="0"/>
        <v>0.84179924821429353</v>
      </c>
      <c r="G15" s="8">
        <f t="shared" si="1"/>
        <v>0.12805603378022634</v>
      </c>
    </row>
    <row r="16" spans="1:7" x14ac:dyDescent="0.25">
      <c r="A16" s="8">
        <v>60</v>
      </c>
      <c r="B16" s="8" t="s">
        <v>61</v>
      </c>
      <c r="D16" s="8">
        <v>0.66523782312736979</v>
      </c>
      <c r="E16" s="8">
        <v>0.94701293746514892</v>
      </c>
      <c r="F16" s="8">
        <f>AVERAGE(C16:E16)</f>
        <v>0.80612538029625935</v>
      </c>
      <c r="G16" s="8">
        <f>_xlfn.STDEV.S(C16:E16)</f>
        <v>0.19924509411785848</v>
      </c>
    </row>
    <row r="17" spans="1:7" x14ac:dyDescent="0.25">
      <c r="A17" s="8">
        <v>120</v>
      </c>
      <c r="B17" s="8" t="s">
        <v>61</v>
      </c>
      <c r="C17" s="8">
        <v>0.54637036488577495</v>
      </c>
      <c r="D17" s="8">
        <v>0.66981409206503395</v>
      </c>
      <c r="E17" s="8">
        <v>0.9628868141647402</v>
      </c>
      <c r="F17" s="8">
        <f>AVERAGE(C17:E17)</f>
        <v>0.7263570903718497</v>
      </c>
      <c r="G17" s="8">
        <f>_xlfn.STDEV.S(C17:E17)</f>
        <v>0.21393765709461388</v>
      </c>
    </row>
    <row r="18" spans="1:7" x14ac:dyDescent="0.25">
      <c r="A18" s="8">
        <v>0</v>
      </c>
      <c r="B18" s="8" t="s">
        <v>63</v>
      </c>
      <c r="C18" s="8">
        <v>1</v>
      </c>
      <c r="D18" s="8">
        <v>1</v>
      </c>
      <c r="E18" s="8">
        <v>1</v>
      </c>
      <c r="F18" s="8">
        <f>AVERAGE(C18:E18)</f>
        <v>1</v>
      </c>
      <c r="G18" s="8">
        <f>_xlfn.STDEV.S(C18:E18)</f>
        <v>0</v>
      </c>
    </row>
    <row r="19" spans="1:7" x14ac:dyDescent="0.25">
      <c r="A19" s="8">
        <v>1</v>
      </c>
      <c r="B19" s="8" t="s">
        <v>63</v>
      </c>
      <c r="C19" s="8">
        <v>0.92641404171377895</v>
      </c>
      <c r="D19" s="8">
        <v>0.7538372273059506</v>
      </c>
      <c r="E19" s="8">
        <v>0.83789406209988548</v>
      </c>
      <c r="F19" s="8">
        <f t="shared" si="0"/>
        <v>0.8393817770398716</v>
      </c>
      <c r="G19" s="8">
        <f t="shared" si="1"/>
        <v>8.6298025409597301E-2</v>
      </c>
    </row>
    <row r="20" spans="1:7" x14ac:dyDescent="0.25">
      <c r="A20" s="8">
        <v>3</v>
      </c>
      <c r="B20" s="8" t="s">
        <v>63</v>
      </c>
      <c r="C20" s="8">
        <v>0.84908362345262678</v>
      </c>
      <c r="D20" s="8">
        <v>0.74073604655282588</v>
      </c>
      <c r="E20" s="8">
        <v>0.8215653713108102</v>
      </c>
      <c r="F20" s="8">
        <f t="shared" si="0"/>
        <v>0.80379501377208762</v>
      </c>
      <c r="G20" s="8">
        <f t="shared" si="1"/>
        <v>5.6317302494926842E-2</v>
      </c>
    </row>
    <row r="21" spans="1:7" x14ac:dyDescent="0.25">
      <c r="A21" s="8">
        <v>5</v>
      </c>
      <c r="B21" s="8" t="s">
        <v>63</v>
      </c>
      <c r="C21" s="8">
        <v>0.70735008814548528</v>
      </c>
      <c r="D21" s="8">
        <v>0.7277543003555631</v>
      </c>
      <c r="E21" s="8">
        <v>0.83840275449753043</v>
      </c>
      <c r="F21" s="8">
        <f t="shared" si="0"/>
        <v>0.75783571433285957</v>
      </c>
      <c r="G21" s="8">
        <f t="shared" si="1"/>
        <v>7.0515026339428064E-2</v>
      </c>
    </row>
    <row r="22" spans="1:7" x14ac:dyDescent="0.25">
      <c r="A22" s="8">
        <v>10</v>
      </c>
      <c r="B22" s="8" t="s">
        <v>63</v>
      </c>
      <c r="C22" s="8">
        <v>0.88343914806653423</v>
      </c>
      <c r="D22" s="8">
        <v>0.65137542011801908</v>
      </c>
      <c r="E22" s="8">
        <v>0.82413839647761811</v>
      </c>
      <c r="F22" s="8">
        <f t="shared" si="0"/>
        <v>0.78631765488739047</v>
      </c>
      <c r="G22" s="8">
        <f t="shared" si="1"/>
        <v>0.12056616369515401</v>
      </c>
    </row>
    <row r="23" spans="1:7" x14ac:dyDescent="0.25">
      <c r="A23" s="8">
        <v>30</v>
      </c>
      <c r="B23" s="8" t="s">
        <v>63</v>
      </c>
      <c r="C23" s="8">
        <v>0.69280106769771443</v>
      </c>
      <c r="D23" s="8">
        <v>0.50847528597431024</v>
      </c>
      <c r="E23" s="8">
        <v>0.68934877496433355</v>
      </c>
      <c r="F23" s="8">
        <f>AVERAGE(C23:E23)</f>
        <v>0.63020837621211934</v>
      </c>
      <c r="G23" s="8">
        <f>_xlfn.STDEV.S(C23:E23)</f>
        <v>0.10543807910529442</v>
      </c>
    </row>
    <row r="24" spans="1:7" x14ac:dyDescent="0.25">
      <c r="A24" s="8">
        <v>60</v>
      </c>
      <c r="B24" s="8" t="s">
        <v>63</v>
      </c>
      <c r="D24" s="8">
        <v>0.3599567971000659</v>
      </c>
      <c r="E24" s="8">
        <v>0.491191627104895</v>
      </c>
      <c r="F24" s="8">
        <f>AVERAGE(C24:E24)</f>
        <v>0.42557421210248048</v>
      </c>
      <c r="G24" s="8">
        <f>_xlfn.STDEV.S(C24:E24)</f>
        <v>9.2797038224278081E-2</v>
      </c>
    </row>
    <row r="25" spans="1:7" x14ac:dyDescent="0.25">
      <c r="A25" s="8">
        <v>120</v>
      </c>
      <c r="B25" s="8" t="s">
        <v>63</v>
      </c>
      <c r="C25" s="8">
        <v>0.19292383783123243</v>
      </c>
      <c r="D25" s="8">
        <v>0.15094465966060255</v>
      </c>
      <c r="E25" s="8">
        <v>0.22109651534553551</v>
      </c>
      <c r="F25" s="8">
        <f>AVERAGE(C25:E25)</f>
        <v>0.18832167094579019</v>
      </c>
      <c r="G25" s="8">
        <f>_xlfn.STDEV.S(C25:E25)</f>
        <v>3.5301638333666563E-2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NudE.1 R3, R4</vt:lpstr>
      <vt:lpstr>NudC R3,R4</vt:lpstr>
      <vt:lpstr>R1</vt:lpstr>
      <vt:lpstr>R2</vt:lpstr>
      <vt:lpstr>All</vt:lpstr>
      <vt:lpstr>Mean_SD_R1_R3_R4</vt:lpstr>
      <vt:lpstr>Mean_SD_R2_R3_R4</vt:lpstr>
    </vt:vector>
  </TitlesOfParts>
  <Company>MPI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Wolfram-Schauerte Maik</dc:creator>
  <cp:lastModifiedBy>Wolfram-Schauerte Maik</cp:lastModifiedBy>
  <dcterms:created xsi:type="dcterms:W3CDTF">2023-07-03T11:02:52Z</dcterms:created>
  <dcterms:modified xsi:type="dcterms:W3CDTF">2023-07-03T11:33:51Z</dcterms:modified>
</cp:coreProperties>
</file>