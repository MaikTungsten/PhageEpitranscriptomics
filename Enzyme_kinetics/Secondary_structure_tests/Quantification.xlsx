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Lab Members\Maik\Project_NAD-captureSeq_final_data\Secondary_structure_tests\"/>
    </mc:Choice>
  </mc:AlternateContent>
  <bookViews>
    <workbookView xWindow="0" yWindow="0" windowWidth="21570" windowHeight="9405"/>
  </bookViews>
  <sheets>
    <sheet name="linear 10mer Cy5" sheetId="1" r:id="rId1"/>
    <sheet name="Other 10mers 04-05-2023" sheetId="2" r:id="rId2"/>
    <sheet name="Repeat_15-05-202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2" i="3" l="1"/>
  <c r="S10" i="3"/>
  <c r="S8" i="3"/>
  <c r="S6" i="3"/>
  <c r="R12" i="3"/>
  <c r="R10" i="3"/>
  <c r="T10" i="3" s="1"/>
  <c r="R6" i="3"/>
  <c r="R8" i="3"/>
  <c r="T12" i="3"/>
  <c r="T8" i="3"/>
  <c r="T6" i="3"/>
  <c r="T8" i="2"/>
  <c r="T10" i="2"/>
  <c r="T12" i="2"/>
  <c r="T6" i="2"/>
  <c r="D16" i="1"/>
  <c r="D15" i="1"/>
  <c r="S8" i="2"/>
  <c r="S10" i="2"/>
  <c r="S12" i="2"/>
  <c r="S6" i="2"/>
  <c r="R8" i="2"/>
  <c r="R10" i="2"/>
  <c r="R12" i="2"/>
  <c r="R6" i="2"/>
  <c r="D14" i="1"/>
</calcChain>
</file>

<file path=xl/sharedStrings.xml><?xml version="1.0" encoding="utf-8"?>
<sst xmlns="http://schemas.openxmlformats.org/spreadsheetml/2006/main" count="238" uniqueCount="81">
  <si>
    <t>2023-05-11_purification_NAD-linear-10mer-Cy5_quantfified</t>
  </si>
  <si>
    <t>No.</t>
  </si>
  <si>
    <t>Label</t>
  </si>
  <si>
    <t>Type</t>
  </si>
  <si>
    <t>Volume (Int)</t>
  </si>
  <si>
    <t>Adj. Vol. (Int)</t>
  </si>
  <si>
    <t>Mean Bkgd. (Int)</t>
  </si>
  <si>
    <t>Abs. Quant.</t>
  </si>
  <si>
    <t>Rel. Quant.</t>
  </si>
  <si>
    <t># of Pixels</t>
  </si>
  <si>
    <t>Min. Value (Int)</t>
  </si>
  <si>
    <t>Max. Value (Int)</t>
  </si>
  <si>
    <t>Mean Value (Int)</t>
  </si>
  <si>
    <t>Std. Dev.</t>
  </si>
  <si>
    <t>Area (mm2)</t>
  </si>
  <si>
    <t>U1</t>
  </si>
  <si>
    <t>Unknown</t>
  </si>
  <si>
    <t>N/A</t>
  </si>
  <si>
    <t>U2</t>
  </si>
  <si>
    <t>U3</t>
  </si>
  <si>
    <t>U4</t>
  </si>
  <si>
    <t>P-10mer lane</t>
  </si>
  <si>
    <t>NAD-10mer lane</t>
  </si>
  <si>
    <t>NAD-10mer band</t>
  </si>
  <si>
    <t>P-10mer band</t>
  </si>
  <si>
    <t>RNA concentration calculation</t>
  </si>
  <si>
    <t>P-10mer lane intensity = 20 µM</t>
  </si>
  <si>
    <t xml:space="preserve">NAD-10mer concentration [µM]: </t>
  </si>
  <si>
    <t>2023-05-04_capping_quantified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</si>
  <si>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</si>
  <si>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</si>
  <si>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</si>
  <si>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</si>
  <si>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</si>
  <si>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</si>
  <si>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</si>
  <si>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</si>
  <si>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</si>
  <si>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</si>
  <si>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</si>
  <si>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</si>
  <si>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P-10mer lane 3</t>
  </si>
  <si>
    <t>NAD-10mer lane 4</t>
  </si>
  <si>
    <t>P-10mer lane 5</t>
  </si>
  <si>
    <t>NAD-10mer lane 6</t>
  </si>
  <si>
    <t>P-10mer lane 7</t>
  </si>
  <si>
    <t>NAD-10mer lane 8</t>
  </si>
  <si>
    <t>P-10mer lane 9</t>
  </si>
  <si>
    <t>NAD-10mer lane 10</t>
  </si>
  <si>
    <t>NAD-10mer band 4</t>
  </si>
  <si>
    <t>P-10mer band 4</t>
  </si>
  <si>
    <t>NAD-10mer band 6</t>
  </si>
  <si>
    <t>P-10mer band 6</t>
  </si>
  <si>
    <t>NAD-10mer band 8</t>
  </si>
  <si>
    <t>P-10mer band 8</t>
  </si>
  <si>
    <t>NAD-10mer band 10</t>
  </si>
  <si>
    <t>P-10mer band 10</t>
  </si>
  <si>
    <t>Normalised concentration for NAD-RNA samples [µM]</t>
  </si>
  <si>
    <t>Fraction NAD-capped</t>
  </si>
  <si>
    <t>Fraction NAD-capped:</t>
  </si>
  <si>
    <t>Concentration NAD-capped [µM]:</t>
  </si>
  <si>
    <t>Concentration NAD-capped</t>
  </si>
  <si>
    <t>10mers were not correctly assigned by Ahmet in this gel which thus had to be repeated to ensure that correct RNAs were quantified</t>
  </si>
  <si>
    <t>2023-05-15_capping_2nd-time_quantified</t>
  </si>
  <si>
    <t>Band</t>
  </si>
  <si>
    <t>linear NAD</t>
  </si>
  <si>
    <t>linear P</t>
  </si>
  <si>
    <t>blunt NAD</t>
  </si>
  <si>
    <t>blunt P</t>
  </si>
  <si>
    <t>3'-ovh NAD</t>
  </si>
  <si>
    <t>3'-ovh P</t>
  </si>
  <si>
    <t>5'-ovh NAD</t>
  </si>
  <si>
    <t>5'-ovh P</t>
  </si>
  <si>
    <t>P lin NAD</t>
  </si>
  <si>
    <t>NAD lin NAD</t>
  </si>
  <si>
    <t>NAD blunt NAD</t>
  </si>
  <si>
    <t>P blunt NAD</t>
  </si>
  <si>
    <t>NAD 3'-ovh NAD</t>
  </si>
  <si>
    <t>P 3'-ovh NAD</t>
  </si>
  <si>
    <t>NAD 5'-ovh NAD</t>
  </si>
  <si>
    <t>P 5'-ovh NAD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</si>
</sst>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3" fillId="0" borderId="0" xfId="0" applyFont="1"/>
    <xf numFmtId="0" fontId="0" fillId="0" borderId="0" xfId="0"/>
    <xf numFmtId="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tabSelected="1" workbookViewId="0">
      <selection activeCell="D16" sqref="D16"/>
    </sheetView>
  </sheetViews>
  <sheetFormatPr defaultRowHeight="15" x14ac:dyDescent="0.25"/>
  <cols>
    <col min="3" max="3" width="12.7109375" customWidth="1"/>
    <col min="4" max="4" width="16.42578125" customWidth="1"/>
    <col min="5" max="5" width="19.140625" customWidth="1"/>
  </cols>
  <sheetData>
    <row r="1" spans="1:16" x14ac:dyDescent="0.25">
      <c r="A1" s="2" t="s">
        <v>0</v>
      </c>
    </row>
    <row r="4" spans="1:16" x14ac:dyDescent="0.2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</row>
    <row r="5" spans="1:16" x14ac:dyDescent="0.25">
      <c r="A5">
        <v>1</v>
      </c>
      <c r="B5" t="s">
        <v>15</v>
      </c>
      <c r="C5" t="s">
        <v>16</v>
      </c>
      <c r="D5" s="1">
        <v>52754582</v>
      </c>
      <c r="E5" s="1">
        <v>35840310.110041</v>
      </c>
      <c r="F5">
        <v>268.37826699999999</v>
      </c>
      <c r="G5" t="s">
        <v>17</v>
      </c>
      <c r="H5" t="s">
        <v>17</v>
      </c>
      <c r="I5">
        <v>63024</v>
      </c>
      <c r="J5">
        <v>197</v>
      </c>
      <c r="K5" s="1">
        <v>42692</v>
      </c>
      <c r="L5">
        <v>837.05543899999998</v>
      </c>
      <c r="M5" s="1">
        <v>3650.8658110000001</v>
      </c>
      <c r="N5">
        <v>367.51846599999999</v>
      </c>
      <c r="P5" s="2" t="s">
        <v>21</v>
      </c>
    </row>
    <row r="6" spans="1:16" x14ac:dyDescent="0.25">
      <c r="A6">
        <v>2</v>
      </c>
      <c r="B6" t="s">
        <v>18</v>
      </c>
      <c r="C6" t="s">
        <v>16</v>
      </c>
      <c r="D6" s="1">
        <v>44759940</v>
      </c>
      <c r="E6" s="1">
        <v>28784136.214579999</v>
      </c>
      <c r="F6">
        <v>253.48761999999999</v>
      </c>
      <c r="G6" t="s">
        <v>17</v>
      </c>
      <c r="H6" t="s">
        <v>17</v>
      </c>
      <c r="I6">
        <v>63024</v>
      </c>
      <c r="J6">
        <v>196</v>
      </c>
      <c r="K6" s="1">
        <v>39119</v>
      </c>
      <c r="L6">
        <v>710.20468400000004</v>
      </c>
      <c r="M6" s="1">
        <v>1849.3453219999999</v>
      </c>
      <c r="N6">
        <v>367.51846599999999</v>
      </c>
      <c r="P6" s="2" t="s">
        <v>22</v>
      </c>
    </row>
    <row r="7" spans="1:16" x14ac:dyDescent="0.25">
      <c r="A7">
        <v>3</v>
      </c>
      <c r="B7" t="s">
        <v>19</v>
      </c>
      <c r="C7" t="s">
        <v>16</v>
      </c>
      <c r="D7" s="1">
        <v>3516248</v>
      </c>
      <c r="E7" s="1">
        <v>2115881.3333330001</v>
      </c>
      <c r="F7">
        <v>274.58169900000001</v>
      </c>
      <c r="G7" t="s">
        <v>17</v>
      </c>
      <c r="H7" t="s">
        <v>17</v>
      </c>
      <c r="I7">
        <v>5100</v>
      </c>
      <c r="J7">
        <v>197</v>
      </c>
      <c r="K7" s="1">
        <v>2706</v>
      </c>
      <c r="L7">
        <v>689.46039199999996</v>
      </c>
      <c r="M7">
        <v>613.05514800000003</v>
      </c>
      <c r="N7">
        <v>29.740165000000001</v>
      </c>
      <c r="P7" s="2" t="s">
        <v>23</v>
      </c>
    </row>
    <row r="8" spans="1:16" x14ac:dyDescent="0.25">
      <c r="A8">
        <v>4</v>
      </c>
      <c r="B8" t="s">
        <v>20</v>
      </c>
      <c r="C8" t="s">
        <v>16</v>
      </c>
      <c r="D8" s="1">
        <v>6652310</v>
      </c>
      <c r="E8" s="1">
        <v>4836110</v>
      </c>
      <c r="F8">
        <v>356.11764699999998</v>
      </c>
      <c r="G8" t="s">
        <v>17</v>
      </c>
      <c r="H8" t="s">
        <v>17</v>
      </c>
      <c r="I8">
        <v>5100</v>
      </c>
      <c r="J8">
        <v>226</v>
      </c>
      <c r="K8" s="1">
        <v>6398</v>
      </c>
      <c r="L8" s="1">
        <v>1304.3745100000001</v>
      </c>
      <c r="M8" s="1">
        <v>1468.6359440000001</v>
      </c>
      <c r="N8">
        <v>29.740165000000001</v>
      </c>
      <c r="P8" s="2" t="s">
        <v>24</v>
      </c>
    </row>
    <row r="11" spans="1:16" ht="18.75" x14ac:dyDescent="0.3">
      <c r="A11" s="3" t="s">
        <v>25</v>
      </c>
    </row>
    <row r="13" spans="1:16" x14ac:dyDescent="0.25">
      <c r="A13" t="s">
        <v>26</v>
      </c>
    </row>
    <row r="14" spans="1:16" x14ac:dyDescent="0.25">
      <c r="A14" s="2" t="s">
        <v>27</v>
      </c>
      <c r="B14" s="2"/>
      <c r="C14" s="2"/>
      <c r="D14" s="2">
        <f>E6/E5*20</f>
        <v>16.062437030373715</v>
      </c>
    </row>
    <row r="15" spans="1:16" x14ac:dyDescent="0.25">
      <c r="A15" s="2" t="s">
        <v>59</v>
      </c>
      <c r="B15" s="2"/>
      <c r="C15" s="2"/>
      <c r="D15" s="2">
        <f>E7/(E7+E8)</f>
        <v>0.30435615234269586</v>
      </c>
    </row>
    <row r="16" spans="1:16" x14ac:dyDescent="0.25">
      <c r="A16" s="2" t="s">
        <v>60</v>
      </c>
      <c r="B16" s="2"/>
      <c r="C16" s="2"/>
      <c r="D16" s="2">
        <f>D15*D14</f>
        <v>4.8887015318113818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workbookViewId="0">
      <selection activeCell="R3" sqref="R3:T12"/>
    </sheetView>
  </sheetViews>
  <sheetFormatPr defaultRowHeight="15" x14ac:dyDescent="0.25"/>
  <cols>
    <col min="5" max="5" width="15.140625" customWidth="1"/>
    <col min="12" max="12" width="11" customWidth="1"/>
    <col min="13" max="13" width="10.5703125" customWidth="1"/>
    <col min="14" max="14" width="12.85546875" customWidth="1"/>
    <col min="16" max="16" width="19" customWidth="1"/>
    <col min="18" max="18" width="25.85546875" customWidth="1"/>
    <col min="19" max="19" width="20" customWidth="1"/>
    <col min="20" max="20" width="20.7109375" customWidth="1"/>
  </cols>
  <sheetData>
    <row r="1" spans="1:20" x14ac:dyDescent="0.25">
      <c r="A1" s="2" t="s">
        <v>28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20" s="4" customFormat="1" x14ac:dyDescent="0.25"/>
    <row r="3" spans="1:20" s="6" customFormat="1" ht="30" x14ac:dyDescent="0.25">
      <c r="R3" s="7" t="s">
        <v>57</v>
      </c>
      <c r="S3" s="7" t="s">
        <v>58</v>
      </c>
      <c r="T3" s="9" t="s">
        <v>61</v>
      </c>
    </row>
    <row r="4" spans="1:20" x14ac:dyDescent="0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R4" s="8"/>
      <c r="S4" s="8"/>
      <c r="T4" s="10"/>
    </row>
    <row r="5" spans="1:20" x14ac:dyDescent="0.25">
      <c r="A5" s="4">
        <v>1</v>
      </c>
      <c r="B5" s="4" t="s">
        <v>15</v>
      </c>
      <c r="C5" s="4" t="s">
        <v>16</v>
      </c>
      <c r="D5" s="5">
        <v>52789929</v>
      </c>
      <c r="E5" s="5">
        <v>28197282.937143002</v>
      </c>
      <c r="F5" s="4">
        <v>433.15214300000002</v>
      </c>
      <c r="G5" s="4" t="s">
        <v>17</v>
      </c>
      <c r="H5" s="4" t="s">
        <v>17</v>
      </c>
      <c r="I5" s="4">
        <v>56776</v>
      </c>
      <c r="J5" s="4">
        <v>247</v>
      </c>
      <c r="K5" s="5">
        <v>35192</v>
      </c>
      <c r="L5" s="4">
        <v>929.79302900000005</v>
      </c>
      <c r="M5" s="5">
        <v>3142.833001</v>
      </c>
      <c r="N5" s="4">
        <v>331.08386200000001</v>
      </c>
      <c r="P5" s="2" t="s">
        <v>41</v>
      </c>
      <c r="R5" s="8"/>
      <c r="S5" s="8"/>
      <c r="T5" s="10"/>
    </row>
    <row r="6" spans="1:20" x14ac:dyDescent="0.25">
      <c r="A6" s="4">
        <v>2</v>
      </c>
      <c r="B6" s="4" t="s">
        <v>18</v>
      </c>
      <c r="C6" s="4" t="s">
        <v>16</v>
      </c>
      <c r="D6" s="5">
        <v>64070164</v>
      </c>
      <c r="E6" s="5">
        <v>41396506.182856999</v>
      </c>
      <c r="F6" s="4">
        <v>399.35285699999997</v>
      </c>
      <c r="G6" s="4" t="s">
        <v>17</v>
      </c>
      <c r="H6" s="4" t="s">
        <v>17</v>
      </c>
      <c r="I6" s="4">
        <v>56776</v>
      </c>
      <c r="J6" s="4">
        <v>272</v>
      </c>
      <c r="K6" s="5">
        <v>65535</v>
      </c>
      <c r="L6" s="5">
        <v>1128.472665</v>
      </c>
      <c r="M6" s="5">
        <v>3676.591019</v>
      </c>
      <c r="N6" s="4">
        <v>331.08386200000001</v>
      </c>
      <c r="P6" s="2" t="s">
        <v>42</v>
      </c>
      <c r="R6" s="8">
        <f>E6/E5*20</f>
        <v>29.362053269556164</v>
      </c>
      <c r="S6" s="8">
        <f>E13/(E13+E14)</f>
        <v>0.51646685249656321</v>
      </c>
      <c r="T6" s="10">
        <f>R6*S6</f>
        <v>15.164527234964094</v>
      </c>
    </row>
    <row r="7" spans="1:20" x14ac:dyDescent="0.25">
      <c r="A7" s="4">
        <v>3</v>
      </c>
      <c r="B7" s="4" t="s">
        <v>19</v>
      </c>
      <c r="C7" s="4" t="s">
        <v>16</v>
      </c>
      <c r="D7" s="5">
        <v>62460769</v>
      </c>
      <c r="E7" s="5">
        <v>36202288.835165001</v>
      </c>
      <c r="F7" s="4">
        <v>399.55082399999998</v>
      </c>
      <c r="G7" s="4" t="s">
        <v>17</v>
      </c>
      <c r="H7" s="4" t="s">
        <v>17</v>
      </c>
      <c r="I7" s="4">
        <v>65720</v>
      </c>
      <c r="J7" s="4">
        <v>237</v>
      </c>
      <c r="K7" s="5">
        <v>41192</v>
      </c>
      <c r="L7" s="4">
        <v>950.40731900000003</v>
      </c>
      <c r="M7" s="5">
        <v>3420.712078</v>
      </c>
      <c r="N7" s="4">
        <v>383.23995000000002</v>
      </c>
      <c r="P7" s="2" t="s">
        <v>43</v>
      </c>
      <c r="R7" s="8"/>
      <c r="S7" s="8"/>
      <c r="T7" s="10"/>
    </row>
    <row r="8" spans="1:20" x14ac:dyDescent="0.25">
      <c r="A8" s="4">
        <v>4</v>
      </c>
      <c r="B8" s="4" t="s">
        <v>20</v>
      </c>
      <c r="C8" s="4" t="s">
        <v>16</v>
      </c>
      <c r="D8" s="5">
        <v>75616829</v>
      </c>
      <c r="E8" s="5">
        <v>50311424.247253001</v>
      </c>
      <c r="F8" s="4">
        <v>385.04876400000001</v>
      </c>
      <c r="G8" s="4" t="s">
        <v>17</v>
      </c>
      <c r="H8" s="4" t="s">
        <v>17</v>
      </c>
      <c r="I8" s="4">
        <v>65720</v>
      </c>
      <c r="J8" s="4">
        <v>232</v>
      </c>
      <c r="K8" s="5">
        <v>44365</v>
      </c>
      <c r="L8" s="5">
        <v>1150.590825</v>
      </c>
      <c r="M8" s="5">
        <v>2765.8533320000001</v>
      </c>
      <c r="N8" s="4">
        <v>383.23995000000002</v>
      </c>
      <c r="P8" s="2" t="s">
        <v>44</v>
      </c>
      <c r="R8" s="8">
        <f t="shared" ref="R8:R12" si="0">E8/E7*20</f>
        <v>27.794609604011072</v>
      </c>
      <c r="S8" s="8">
        <f t="shared" ref="S8:S12" si="1">E15/(E15+E16)</f>
        <v>0.36216886053016317</v>
      </c>
      <c r="T8" s="10">
        <f t="shared" ref="T8:T12" si="2">R8*S8</f>
        <v>10.066342089165421</v>
      </c>
    </row>
    <row r="9" spans="1:20" x14ac:dyDescent="0.25">
      <c r="A9" s="4">
        <v>5</v>
      </c>
      <c r="B9" s="4" t="s">
        <v>29</v>
      </c>
      <c r="C9" s="4" t="s">
        <v>16</v>
      </c>
      <c r="D9" s="5">
        <v>60952157</v>
      </c>
      <c r="E9" s="5">
        <v>36039266.752746999</v>
      </c>
      <c r="F9" s="4">
        <v>379.07623599999999</v>
      </c>
      <c r="G9" s="4" t="s">
        <v>17</v>
      </c>
      <c r="H9" s="4" t="s">
        <v>17</v>
      </c>
      <c r="I9" s="4">
        <v>65720</v>
      </c>
      <c r="J9" s="4">
        <v>241</v>
      </c>
      <c r="K9" s="5">
        <v>37821</v>
      </c>
      <c r="L9" s="4">
        <v>927.45217600000001</v>
      </c>
      <c r="M9" s="5">
        <v>3182.3849319999999</v>
      </c>
      <c r="N9" s="4">
        <v>383.23995000000002</v>
      </c>
      <c r="P9" s="2" t="s">
        <v>45</v>
      </c>
      <c r="R9" s="8"/>
      <c r="S9" s="8"/>
      <c r="T9" s="10"/>
    </row>
    <row r="10" spans="1:20" x14ac:dyDescent="0.25">
      <c r="A10" s="4">
        <v>6</v>
      </c>
      <c r="B10" s="4" t="s">
        <v>30</v>
      </c>
      <c r="C10" s="4" t="s">
        <v>16</v>
      </c>
      <c r="D10" s="5">
        <v>69161790</v>
      </c>
      <c r="E10" s="5">
        <v>45270854.780220002</v>
      </c>
      <c r="F10" s="4">
        <v>363.52609899999999</v>
      </c>
      <c r="G10" s="4" t="s">
        <v>17</v>
      </c>
      <c r="H10" s="4" t="s">
        <v>17</v>
      </c>
      <c r="I10" s="4">
        <v>65720</v>
      </c>
      <c r="J10" s="4">
        <v>239</v>
      </c>
      <c r="K10" s="5">
        <v>61826</v>
      </c>
      <c r="L10" s="5">
        <v>1052.3705110000001</v>
      </c>
      <c r="M10" s="5">
        <v>2832.2609000000002</v>
      </c>
      <c r="N10" s="4">
        <v>383.23995000000002</v>
      </c>
      <c r="P10" s="2" t="s">
        <v>46</v>
      </c>
      <c r="R10" s="8">
        <f t="shared" si="0"/>
        <v>25.123072059599743</v>
      </c>
      <c r="S10" s="8">
        <f t="shared" si="1"/>
        <v>0.37642270018113866</v>
      </c>
      <c r="T10" s="10">
        <f t="shared" si="2"/>
        <v>9.4568946215198562</v>
      </c>
    </row>
    <row r="11" spans="1:20" x14ac:dyDescent="0.25">
      <c r="A11" s="4">
        <v>7</v>
      </c>
      <c r="B11" s="4" t="s">
        <v>31</v>
      </c>
      <c r="C11" s="4" t="s">
        <v>16</v>
      </c>
      <c r="D11" s="5">
        <v>62936860</v>
      </c>
      <c r="E11" s="5">
        <v>39051250.989010997</v>
      </c>
      <c r="F11" s="4">
        <v>363.44505500000002</v>
      </c>
      <c r="G11" s="4" t="s">
        <v>17</v>
      </c>
      <c r="H11" s="4" t="s">
        <v>17</v>
      </c>
      <c r="I11" s="4">
        <v>65720</v>
      </c>
      <c r="J11" s="4">
        <v>231</v>
      </c>
      <c r="K11" s="5">
        <v>44303</v>
      </c>
      <c r="L11" s="4">
        <v>957.65155200000004</v>
      </c>
      <c r="M11" s="5">
        <v>3602.2054760000001</v>
      </c>
      <c r="N11" s="4">
        <v>383.23995000000002</v>
      </c>
      <c r="P11" s="2" t="s">
        <v>47</v>
      </c>
      <c r="R11" s="8"/>
      <c r="S11" s="8"/>
      <c r="T11" s="10"/>
    </row>
    <row r="12" spans="1:20" x14ac:dyDescent="0.25">
      <c r="A12" s="4">
        <v>8</v>
      </c>
      <c r="B12" s="4" t="s">
        <v>32</v>
      </c>
      <c r="C12" s="4" t="s">
        <v>16</v>
      </c>
      <c r="D12" s="5">
        <v>77156788</v>
      </c>
      <c r="E12" s="5">
        <v>53711313.412087999</v>
      </c>
      <c r="F12" s="4">
        <v>356.74794000000003</v>
      </c>
      <c r="G12" s="4" t="s">
        <v>17</v>
      </c>
      <c r="H12" s="4" t="s">
        <v>17</v>
      </c>
      <c r="I12" s="4">
        <v>65720</v>
      </c>
      <c r="J12" s="4">
        <v>227</v>
      </c>
      <c r="K12" s="5">
        <v>24013</v>
      </c>
      <c r="L12" s="5">
        <v>1174.022946</v>
      </c>
      <c r="M12" s="5">
        <v>2450.1969989999998</v>
      </c>
      <c r="N12" s="4">
        <v>383.23995000000002</v>
      </c>
      <c r="P12" s="2" t="s">
        <v>48</v>
      </c>
      <c r="R12" s="8">
        <f t="shared" si="0"/>
        <v>27.508114107382799</v>
      </c>
      <c r="S12" s="8">
        <f t="shared" si="1"/>
        <v>0.46844026679093076</v>
      </c>
      <c r="T12" s="10">
        <f t="shared" si="2"/>
        <v>12.885908311377765</v>
      </c>
    </row>
    <row r="13" spans="1:20" x14ac:dyDescent="0.25">
      <c r="A13" s="4">
        <v>9</v>
      </c>
      <c r="B13" s="4" t="s">
        <v>33</v>
      </c>
      <c r="C13" s="4" t="s">
        <v>16</v>
      </c>
      <c r="D13" s="5">
        <v>4410046</v>
      </c>
      <c r="E13" s="5">
        <v>2415676.1367190001</v>
      </c>
      <c r="F13" s="4">
        <v>626.17578100000003</v>
      </c>
      <c r="G13" s="4" t="s">
        <v>17</v>
      </c>
      <c r="H13" s="4" t="s">
        <v>17</v>
      </c>
      <c r="I13" s="4">
        <v>3185</v>
      </c>
      <c r="J13" s="4">
        <v>369</v>
      </c>
      <c r="K13" s="5">
        <v>3212</v>
      </c>
      <c r="L13" s="5">
        <v>1384.629827</v>
      </c>
      <c r="M13" s="4">
        <v>780.69606099999999</v>
      </c>
      <c r="N13" s="4">
        <v>18.573025999999999</v>
      </c>
      <c r="P13" s="2" t="s">
        <v>49</v>
      </c>
    </row>
    <row r="14" spans="1:20" x14ac:dyDescent="0.25">
      <c r="A14" s="4">
        <v>10</v>
      </c>
      <c r="B14" s="4" t="s">
        <v>34</v>
      </c>
      <c r="C14" s="4" t="s">
        <v>16</v>
      </c>
      <c r="D14" s="5">
        <v>4028663</v>
      </c>
      <c r="E14" s="5">
        <v>2261634.953125</v>
      </c>
      <c r="F14" s="4">
        <v>554.796875</v>
      </c>
      <c r="G14" s="4" t="s">
        <v>17</v>
      </c>
      <c r="H14" s="4" t="s">
        <v>17</v>
      </c>
      <c r="I14" s="4">
        <v>3185</v>
      </c>
      <c r="J14" s="4">
        <v>287</v>
      </c>
      <c r="K14" s="5">
        <v>3551</v>
      </c>
      <c r="L14" s="5">
        <v>1264.886342</v>
      </c>
      <c r="M14" s="4">
        <v>880.93664699999999</v>
      </c>
      <c r="N14" s="4">
        <v>18.573025999999999</v>
      </c>
      <c r="P14" s="2" t="s">
        <v>50</v>
      </c>
    </row>
    <row r="15" spans="1:20" x14ac:dyDescent="0.25">
      <c r="A15" s="4">
        <v>11</v>
      </c>
      <c r="B15" s="4" t="s">
        <v>35</v>
      </c>
      <c r="C15" s="4" t="s">
        <v>16</v>
      </c>
      <c r="D15" s="5">
        <v>12420553</v>
      </c>
      <c r="E15" s="5">
        <v>9958540.4482760001</v>
      </c>
      <c r="F15" s="4">
        <v>597.57586200000003</v>
      </c>
      <c r="G15" s="4" t="s">
        <v>17</v>
      </c>
      <c r="H15" s="4" t="s">
        <v>17</v>
      </c>
      <c r="I15" s="4">
        <v>4120</v>
      </c>
      <c r="J15" s="4">
        <v>377</v>
      </c>
      <c r="K15" s="5">
        <v>10191</v>
      </c>
      <c r="L15" s="5">
        <v>3014.69733</v>
      </c>
      <c r="M15" s="5">
        <v>2941.3188650000002</v>
      </c>
      <c r="N15" s="4">
        <v>24.025389000000001</v>
      </c>
      <c r="P15" s="2" t="s">
        <v>51</v>
      </c>
    </row>
    <row r="16" spans="1:20" x14ac:dyDescent="0.25">
      <c r="A16" s="4">
        <v>12</v>
      </c>
      <c r="B16" s="4" t="s">
        <v>36</v>
      </c>
      <c r="C16" s="4" t="s">
        <v>16</v>
      </c>
      <c r="D16" s="5">
        <v>19816745</v>
      </c>
      <c r="E16" s="5">
        <v>17538413.413793001</v>
      </c>
      <c r="F16" s="4">
        <v>552.99310300000002</v>
      </c>
      <c r="G16" s="4" t="s">
        <v>17</v>
      </c>
      <c r="H16" s="4" t="s">
        <v>17</v>
      </c>
      <c r="I16" s="4">
        <v>4120</v>
      </c>
      <c r="J16" s="4">
        <v>232</v>
      </c>
      <c r="K16" s="5">
        <v>23609</v>
      </c>
      <c r="L16" s="5">
        <v>4809.8895629999997</v>
      </c>
      <c r="M16" s="5">
        <v>6525.5865560000002</v>
      </c>
      <c r="N16" s="4">
        <v>24.025389000000001</v>
      </c>
      <c r="P16" s="2" t="s">
        <v>52</v>
      </c>
    </row>
    <row r="17" spans="1:16" x14ac:dyDescent="0.25">
      <c r="A17" s="4">
        <v>13</v>
      </c>
      <c r="B17" s="4" t="s">
        <v>37</v>
      </c>
      <c r="C17" s="4" t="s">
        <v>16</v>
      </c>
      <c r="D17" s="5">
        <v>10110864</v>
      </c>
      <c r="E17" s="5">
        <v>7920970.3448280003</v>
      </c>
      <c r="F17" s="4">
        <v>531.52758600000004</v>
      </c>
      <c r="G17" s="4" t="s">
        <v>17</v>
      </c>
      <c r="H17" s="4" t="s">
        <v>17</v>
      </c>
      <c r="I17" s="4">
        <v>4120</v>
      </c>
      <c r="J17" s="4">
        <v>375</v>
      </c>
      <c r="K17" s="5">
        <v>8381</v>
      </c>
      <c r="L17" s="5">
        <v>2454.0932039999998</v>
      </c>
      <c r="M17" s="5">
        <v>2403.9507309999999</v>
      </c>
      <c r="N17" s="4">
        <v>24.025389000000001</v>
      </c>
      <c r="P17" s="2" t="s">
        <v>53</v>
      </c>
    </row>
    <row r="18" spans="1:16" x14ac:dyDescent="0.25">
      <c r="A18" s="4">
        <v>14</v>
      </c>
      <c r="B18" s="4" t="s">
        <v>38</v>
      </c>
      <c r="C18" s="4" t="s">
        <v>16</v>
      </c>
      <c r="D18" s="5">
        <v>14835235</v>
      </c>
      <c r="E18" s="5">
        <v>13121783.827586001</v>
      </c>
      <c r="F18" s="4">
        <v>415.88620700000001</v>
      </c>
      <c r="G18" s="4" t="s">
        <v>17</v>
      </c>
      <c r="H18" s="4" t="s">
        <v>17</v>
      </c>
      <c r="I18" s="4">
        <v>4120</v>
      </c>
      <c r="J18" s="4">
        <v>244</v>
      </c>
      <c r="K18" s="5">
        <v>18111</v>
      </c>
      <c r="L18" s="5">
        <v>3600.785194</v>
      </c>
      <c r="M18" s="5">
        <v>4927.0118780000003</v>
      </c>
      <c r="N18" s="4">
        <v>24.025389000000001</v>
      </c>
      <c r="P18" s="2" t="s">
        <v>54</v>
      </c>
    </row>
    <row r="19" spans="1:16" x14ac:dyDescent="0.25">
      <c r="A19" s="4">
        <v>15</v>
      </c>
      <c r="B19" s="4" t="s">
        <v>39</v>
      </c>
      <c r="C19" s="4" t="s">
        <v>16</v>
      </c>
      <c r="D19" s="5">
        <v>17383123</v>
      </c>
      <c r="E19" s="5">
        <v>14189512.103448</v>
      </c>
      <c r="F19" s="4">
        <v>775.14827600000001</v>
      </c>
      <c r="G19" s="4" t="s">
        <v>17</v>
      </c>
      <c r="H19" s="4" t="s">
        <v>17</v>
      </c>
      <c r="I19" s="4">
        <v>4120</v>
      </c>
      <c r="J19" s="4">
        <v>365</v>
      </c>
      <c r="K19" s="5">
        <v>15897</v>
      </c>
      <c r="L19" s="5">
        <v>4219.2046120000005</v>
      </c>
      <c r="M19" s="5">
        <v>4388.397575</v>
      </c>
      <c r="N19" s="4">
        <v>24.025389000000001</v>
      </c>
      <c r="P19" s="2" t="s">
        <v>55</v>
      </c>
    </row>
    <row r="20" spans="1:16" x14ac:dyDescent="0.25">
      <c r="A20" s="4">
        <v>16</v>
      </c>
      <c r="B20" s="4" t="s">
        <v>40</v>
      </c>
      <c r="C20" s="4" t="s">
        <v>16</v>
      </c>
      <c r="D20" s="5">
        <v>18977549</v>
      </c>
      <c r="E20" s="5">
        <v>16101462.241379</v>
      </c>
      <c r="F20" s="4">
        <v>698.07930999999996</v>
      </c>
      <c r="G20" s="4" t="s">
        <v>17</v>
      </c>
      <c r="H20" s="4" t="s">
        <v>17</v>
      </c>
      <c r="I20" s="4">
        <v>4120</v>
      </c>
      <c r="J20" s="4">
        <v>252</v>
      </c>
      <c r="K20" s="5">
        <v>23595</v>
      </c>
      <c r="L20" s="5">
        <v>4606.2012139999997</v>
      </c>
      <c r="M20" s="5">
        <v>6021.3454030000003</v>
      </c>
      <c r="N20" s="4">
        <v>24.025389000000001</v>
      </c>
      <c r="P20" s="2" t="s">
        <v>56</v>
      </c>
    </row>
    <row r="23" spans="1:16" ht="21" x14ac:dyDescent="0.35">
      <c r="A23" s="11" t="s">
        <v>62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>
      <selection activeCell="T6" sqref="T6"/>
    </sheetView>
  </sheetViews>
  <sheetFormatPr defaultRowHeight="15" x14ac:dyDescent="0.25"/>
  <cols>
    <col min="4" max="4" width="19.42578125" customWidth="1"/>
    <col min="5" max="5" width="23" customWidth="1"/>
    <col min="18" max="18" width="26.7109375" customWidth="1"/>
    <col min="19" max="19" width="20.28515625" customWidth="1"/>
    <col min="20" max="20" width="26.85546875" customWidth="1"/>
  </cols>
  <sheetData>
    <row r="1" spans="1:20" x14ac:dyDescent="0.25">
      <c r="A1" s="2" t="s">
        <v>63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20" s="12" customFormat="1" x14ac:dyDescent="0.25"/>
    <row r="3" spans="1:20" s="14" customFormat="1" ht="30" x14ac:dyDescent="0.25">
      <c r="R3" s="15" t="s">
        <v>57</v>
      </c>
      <c r="S3" s="15" t="s">
        <v>58</v>
      </c>
      <c r="T3" s="15" t="s">
        <v>61</v>
      </c>
    </row>
    <row r="4" spans="1:20" x14ac:dyDescent="0.25">
      <c r="A4" s="12" t="s">
        <v>1</v>
      </c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  <c r="L4" s="12" t="s">
        <v>12</v>
      </c>
      <c r="M4" s="12" t="s">
        <v>13</v>
      </c>
      <c r="N4" s="12" t="s">
        <v>14</v>
      </c>
      <c r="P4" t="s">
        <v>64</v>
      </c>
      <c r="R4" s="8"/>
      <c r="S4" s="8"/>
      <c r="T4" s="10"/>
    </row>
    <row r="5" spans="1:20" x14ac:dyDescent="0.25">
      <c r="A5" s="12">
        <v>1</v>
      </c>
      <c r="B5" s="12" t="s">
        <v>15</v>
      </c>
      <c r="C5" s="12" t="s">
        <v>16</v>
      </c>
      <c r="D5" s="13">
        <v>26916223</v>
      </c>
      <c r="E5" s="13">
        <v>13565476.661417</v>
      </c>
      <c r="F5" s="12">
        <v>252.53936999999999</v>
      </c>
      <c r="G5" s="12" t="s">
        <v>17</v>
      </c>
      <c r="H5" s="12" t="s">
        <v>17</v>
      </c>
      <c r="I5" s="12">
        <v>52866</v>
      </c>
      <c r="J5" s="12">
        <v>202</v>
      </c>
      <c r="K5" s="13">
        <v>15163</v>
      </c>
      <c r="L5" s="12">
        <v>509.14052500000003</v>
      </c>
      <c r="M5" s="12">
        <v>838.71164999999996</v>
      </c>
      <c r="N5" s="12">
        <v>308.28305499999999</v>
      </c>
      <c r="P5" t="s">
        <v>65</v>
      </c>
      <c r="R5" s="8"/>
      <c r="S5" s="8"/>
      <c r="T5" s="10"/>
    </row>
    <row r="6" spans="1:20" x14ac:dyDescent="0.25">
      <c r="A6" s="12">
        <v>2</v>
      </c>
      <c r="B6" s="12" t="s">
        <v>18</v>
      </c>
      <c r="C6" s="12" t="s">
        <v>16</v>
      </c>
      <c r="D6" s="13">
        <v>28117129</v>
      </c>
      <c r="E6" s="13">
        <v>14763586.099525999</v>
      </c>
      <c r="F6" s="12">
        <v>253.541864</v>
      </c>
      <c r="G6" s="12" t="s">
        <v>17</v>
      </c>
      <c r="H6" s="12" t="s">
        <v>17</v>
      </c>
      <c r="I6" s="12">
        <v>52668</v>
      </c>
      <c r="J6" s="12">
        <v>202</v>
      </c>
      <c r="K6" s="13">
        <v>27168</v>
      </c>
      <c r="L6" s="12">
        <v>533.85602300000005</v>
      </c>
      <c r="M6" s="13">
        <v>1769.6109039999999</v>
      </c>
      <c r="N6" s="12">
        <v>307.12843600000002</v>
      </c>
      <c r="P6" t="s">
        <v>66</v>
      </c>
      <c r="R6" s="8">
        <f>E5/E6*20</f>
        <v>18.376939816610726</v>
      </c>
      <c r="S6" s="8">
        <f>E13/(E13+E14)</f>
        <v>0.25481949646490953</v>
      </c>
      <c r="T6" s="10">
        <f>R6*S6</f>
        <v>4.6828025506346922</v>
      </c>
    </row>
    <row r="7" spans="1:20" x14ac:dyDescent="0.25">
      <c r="A7" s="12">
        <v>3</v>
      </c>
      <c r="B7" s="12" t="s">
        <v>19</v>
      </c>
      <c r="C7" s="12" t="s">
        <v>16</v>
      </c>
      <c r="D7" s="13">
        <v>45987178</v>
      </c>
      <c r="E7" s="13">
        <v>29773622.612925999</v>
      </c>
      <c r="F7" s="12">
        <v>258.65127799999999</v>
      </c>
      <c r="G7" s="12" t="s">
        <v>17</v>
      </c>
      <c r="H7" s="12" t="s">
        <v>17</v>
      </c>
      <c r="I7" s="12">
        <v>62685</v>
      </c>
      <c r="J7" s="12">
        <v>217</v>
      </c>
      <c r="K7" s="13">
        <v>22028</v>
      </c>
      <c r="L7" s="12">
        <v>733.62332300000003</v>
      </c>
      <c r="M7" s="13">
        <v>1702.968394</v>
      </c>
      <c r="N7" s="12">
        <v>365.54162000000002</v>
      </c>
      <c r="P7" t="s">
        <v>67</v>
      </c>
      <c r="R7" s="8"/>
      <c r="S7" s="8"/>
      <c r="T7" s="10"/>
    </row>
    <row r="8" spans="1:20" x14ac:dyDescent="0.25">
      <c r="A8" s="12">
        <v>4</v>
      </c>
      <c r="B8" s="12" t="s">
        <v>20</v>
      </c>
      <c r="C8" s="12" t="s">
        <v>16</v>
      </c>
      <c r="D8" s="13">
        <v>39423274</v>
      </c>
      <c r="E8" s="13">
        <v>22945800.516334999</v>
      </c>
      <c r="F8" s="12">
        <v>262.86150600000002</v>
      </c>
      <c r="G8" s="12" t="s">
        <v>17</v>
      </c>
      <c r="H8" s="12" t="s">
        <v>17</v>
      </c>
      <c r="I8" s="12">
        <v>62685</v>
      </c>
      <c r="J8" s="12">
        <v>205</v>
      </c>
      <c r="K8" s="13">
        <v>41441</v>
      </c>
      <c r="L8" s="12">
        <v>628.91080799999997</v>
      </c>
      <c r="M8" s="13">
        <v>2496.2848009999998</v>
      </c>
      <c r="N8" s="12">
        <v>365.54162000000002</v>
      </c>
      <c r="P8" t="s">
        <v>68</v>
      </c>
      <c r="R8" s="8">
        <f>E7/E8*20</f>
        <v>25.951260747455997</v>
      </c>
      <c r="S8" s="8">
        <f>E15/(E15+E16)</f>
        <v>0.38071135779903936</v>
      </c>
      <c r="T8" s="10">
        <f t="shared" ref="T8:T12" si="0">R8*S8</f>
        <v>9.8799397157608855</v>
      </c>
    </row>
    <row r="9" spans="1:20" x14ac:dyDescent="0.25">
      <c r="A9" s="12">
        <v>5</v>
      </c>
      <c r="B9" s="12" t="s">
        <v>29</v>
      </c>
      <c r="C9" s="12" t="s">
        <v>16</v>
      </c>
      <c r="D9" s="13">
        <v>34959573</v>
      </c>
      <c r="E9" s="13">
        <v>18221876.629260998</v>
      </c>
      <c r="F9" s="12">
        <v>267.01278400000001</v>
      </c>
      <c r="G9" s="12" t="s">
        <v>17</v>
      </c>
      <c r="H9" s="12" t="s">
        <v>17</v>
      </c>
      <c r="I9" s="12">
        <v>62685</v>
      </c>
      <c r="J9" s="12">
        <v>215</v>
      </c>
      <c r="K9" s="13">
        <v>13149</v>
      </c>
      <c r="L9" s="12">
        <v>557.70236899999998</v>
      </c>
      <c r="M9" s="13">
        <v>1026.451568</v>
      </c>
      <c r="N9" s="12">
        <v>365.54162000000002</v>
      </c>
      <c r="P9" t="s">
        <v>69</v>
      </c>
      <c r="R9" s="8"/>
      <c r="S9" s="8"/>
      <c r="T9" s="10"/>
    </row>
    <row r="10" spans="1:20" x14ac:dyDescent="0.25">
      <c r="A10" s="12">
        <v>6</v>
      </c>
      <c r="B10" s="12" t="s">
        <v>30</v>
      </c>
      <c r="C10" s="12" t="s">
        <v>16</v>
      </c>
      <c r="D10" s="13">
        <v>35846971</v>
      </c>
      <c r="E10" s="13">
        <v>19466107.210937999</v>
      </c>
      <c r="F10" s="12">
        <v>261.320313</v>
      </c>
      <c r="G10" s="12" t="s">
        <v>17</v>
      </c>
      <c r="H10" s="12" t="s">
        <v>17</v>
      </c>
      <c r="I10" s="12">
        <v>62685</v>
      </c>
      <c r="J10" s="12">
        <v>209</v>
      </c>
      <c r="K10" s="13">
        <v>31811</v>
      </c>
      <c r="L10" s="12">
        <v>571.858834</v>
      </c>
      <c r="M10" s="13">
        <v>1944.798691</v>
      </c>
      <c r="N10" s="12">
        <v>365.54162000000002</v>
      </c>
      <c r="P10" t="s">
        <v>70</v>
      </c>
      <c r="R10" s="8">
        <f>E9/E10*20</f>
        <v>18.721644170357937</v>
      </c>
      <c r="S10" s="8">
        <f>E17/(E17+E18)</f>
        <v>0.38363611055307151</v>
      </c>
      <c r="T10" s="10">
        <f t="shared" si="0"/>
        <v>7.1822987526747042</v>
      </c>
    </row>
    <row r="11" spans="1:20" x14ac:dyDescent="0.25">
      <c r="A11" s="12">
        <v>7</v>
      </c>
      <c r="B11" s="12" t="s">
        <v>31</v>
      </c>
      <c r="C11" s="12" t="s">
        <v>16</v>
      </c>
      <c r="D11" s="13">
        <v>38555587</v>
      </c>
      <c r="E11" s="13">
        <v>21075509.681108002</v>
      </c>
      <c r="F11" s="12">
        <v>278.85582399999998</v>
      </c>
      <c r="G11" s="12" t="s">
        <v>17</v>
      </c>
      <c r="H11" s="12" t="s">
        <v>17</v>
      </c>
      <c r="I11" s="12">
        <v>62685</v>
      </c>
      <c r="J11" s="12">
        <v>221</v>
      </c>
      <c r="K11" s="13">
        <v>15112</v>
      </c>
      <c r="L11" s="12">
        <v>615.06878800000004</v>
      </c>
      <c r="M11" s="13">
        <v>1252.9521030000001</v>
      </c>
      <c r="N11" s="12">
        <v>365.54162000000002</v>
      </c>
      <c r="P11" t="s">
        <v>71</v>
      </c>
      <c r="R11" s="8"/>
      <c r="S11" s="8"/>
      <c r="T11" s="10"/>
    </row>
    <row r="12" spans="1:20" x14ac:dyDescent="0.25">
      <c r="A12" s="12">
        <v>8</v>
      </c>
      <c r="B12" s="12" t="s">
        <v>32</v>
      </c>
      <c r="C12" s="12" t="s">
        <v>16</v>
      </c>
      <c r="D12" s="13">
        <v>39269577</v>
      </c>
      <c r="E12" s="13">
        <v>22668247.216619</v>
      </c>
      <c r="F12" s="12">
        <v>264.83735799999999</v>
      </c>
      <c r="G12" s="12" t="s">
        <v>17</v>
      </c>
      <c r="H12" s="12" t="s">
        <v>17</v>
      </c>
      <c r="I12" s="12">
        <v>62685</v>
      </c>
      <c r="J12" s="12">
        <v>208</v>
      </c>
      <c r="K12" s="13">
        <v>38923</v>
      </c>
      <c r="L12" s="12">
        <v>626.45891400000005</v>
      </c>
      <c r="M12" s="13">
        <v>2496.1587439999998</v>
      </c>
      <c r="N12" s="12">
        <v>365.54162000000002</v>
      </c>
      <c r="P12" t="s">
        <v>72</v>
      </c>
      <c r="R12" s="8">
        <f>E11/E12*20</f>
        <v>18.594741339909774</v>
      </c>
      <c r="S12" s="8">
        <f>E19/(E19+E20)</f>
        <v>0.47916857674473456</v>
      </c>
      <c r="T12" s="10">
        <f t="shared" si="0"/>
        <v>8.9100157427810451</v>
      </c>
    </row>
    <row r="13" spans="1:20" x14ac:dyDescent="0.25">
      <c r="A13" s="12">
        <v>9</v>
      </c>
      <c r="B13" s="12" t="s">
        <v>33</v>
      </c>
      <c r="C13" s="12" t="s">
        <v>16</v>
      </c>
      <c r="D13" s="13">
        <v>2414377</v>
      </c>
      <c r="E13" s="13">
        <v>1157236.6666669999</v>
      </c>
      <c r="F13" s="12">
        <v>272.93537400000002</v>
      </c>
      <c r="G13" s="12" t="s">
        <v>17</v>
      </c>
      <c r="H13" s="12" t="s">
        <v>17</v>
      </c>
      <c r="I13" s="12">
        <v>4606</v>
      </c>
      <c r="J13" s="12">
        <v>216</v>
      </c>
      <c r="K13" s="13">
        <v>2562</v>
      </c>
      <c r="L13" s="12">
        <v>524.18085099999996</v>
      </c>
      <c r="M13" s="12">
        <v>439.647267</v>
      </c>
      <c r="N13" s="12">
        <v>26.859451</v>
      </c>
      <c r="P13" t="s">
        <v>74</v>
      </c>
    </row>
    <row r="14" spans="1:20" x14ac:dyDescent="0.25">
      <c r="A14" s="12">
        <v>10</v>
      </c>
      <c r="B14" s="12" t="s">
        <v>34</v>
      </c>
      <c r="C14" s="12" t="s">
        <v>16</v>
      </c>
      <c r="D14" s="13">
        <v>4875612</v>
      </c>
      <c r="E14" s="13">
        <v>3384161</v>
      </c>
      <c r="F14" s="12">
        <v>323.80612200000002</v>
      </c>
      <c r="G14" s="12" t="s">
        <v>17</v>
      </c>
      <c r="H14" s="12" t="s">
        <v>17</v>
      </c>
      <c r="I14" s="12">
        <v>4606</v>
      </c>
      <c r="J14" s="12">
        <v>221</v>
      </c>
      <c r="K14" s="13">
        <v>6601</v>
      </c>
      <c r="L14" s="13">
        <v>1058.534954</v>
      </c>
      <c r="M14" s="13">
        <v>1210.807677</v>
      </c>
      <c r="N14" s="12">
        <v>26.859451</v>
      </c>
      <c r="P14" t="s">
        <v>73</v>
      </c>
    </row>
    <row r="15" spans="1:20" x14ac:dyDescent="0.25">
      <c r="A15" s="12">
        <v>11</v>
      </c>
      <c r="B15" s="12" t="s">
        <v>35</v>
      </c>
      <c r="C15" s="12" t="s">
        <v>16</v>
      </c>
      <c r="D15" s="13">
        <v>9043036</v>
      </c>
      <c r="E15" s="13">
        <v>7166281.8173080003</v>
      </c>
      <c r="F15" s="12">
        <v>364.77243600000003</v>
      </c>
      <c r="G15" s="12" t="s">
        <v>17</v>
      </c>
      <c r="H15" s="12" t="s">
        <v>17</v>
      </c>
      <c r="I15" s="12">
        <v>5145</v>
      </c>
      <c r="J15" s="12">
        <v>223</v>
      </c>
      <c r="K15" s="13">
        <v>13337</v>
      </c>
      <c r="L15" s="13">
        <v>1757.635763</v>
      </c>
      <c r="M15" s="13">
        <v>2598.705931</v>
      </c>
      <c r="N15" s="12">
        <v>30.002579000000001</v>
      </c>
      <c r="P15" t="s">
        <v>75</v>
      </c>
    </row>
    <row r="16" spans="1:20" x14ac:dyDescent="0.25">
      <c r="A16" s="12">
        <v>12</v>
      </c>
      <c r="B16" s="12" t="s">
        <v>36</v>
      </c>
      <c r="C16" s="12" t="s">
        <v>16</v>
      </c>
      <c r="D16" s="13">
        <v>13784146</v>
      </c>
      <c r="E16" s="13">
        <v>11657117.25</v>
      </c>
      <c r="F16" s="12">
        <v>413.41666700000002</v>
      </c>
      <c r="G16" s="12" t="s">
        <v>17</v>
      </c>
      <c r="H16" s="12" t="s">
        <v>17</v>
      </c>
      <c r="I16" s="12">
        <v>5145</v>
      </c>
      <c r="J16" s="12">
        <v>244</v>
      </c>
      <c r="K16" s="13">
        <v>22028</v>
      </c>
      <c r="L16" s="13">
        <v>2679.134305</v>
      </c>
      <c r="M16" s="13">
        <v>4233.7197619999997</v>
      </c>
      <c r="N16" s="12">
        <v>30.002579000000001</v>
      </c>
      <c r="P16" t="s">
        <v>76</v>
      </c>
    </row>
    <row r="17" spans="1:16" x14ac:dyDescent="0.25">
      <c r="A17" s="12">
        <v>13</v>
      </c>
      <c r="B17" s="12" t="s">
        <v>37</v>
      </c>
      <c r="C17" s="12" t="s">
        <v>16</v>
      </c>
      <c r="D17" s="13">
        <v>5435286</v>
      </c>
      <c r="E17" s="13">
        <v>3993962.0563380001</v>
      </c>
      <c r="F17" s="12">
        <v>360.330986</v>
      </c>
      <c r="G17" s="12" t="s">
        <v>17</v>
      </c>
      <c r="H17" s="12" t="s">
        <v>17</v>
      </c>
      <c r="I17" s="12">
        <v>4000</v>
      </c>
      <c r="J17" s="12">
        <v>232</v>
      </c>
      <c r="K17" s="13">
        <v>7696</v>
      </c>
      <c r="L17" s="13">
        <v>1358.8215</v>
      </c>
      <c r="M17" s="13">
        <v>1597.1123580000001</v>
      </c>
      <c r="N17" s="12">
        <v>23.325620000000001</v>
      </c>
      <c r="P17" t="s">
        <v>77</v>
      </c>
    </row>
    <row r="18" spans="1:16" x14ac:dyDescent="0.25">
      <c r="A18" s="12">
        <v>14</v>
      </c>
      <c r="B18" s="12" t="s">
        <v>38</v>
      </c>
      <c r="C18" s="12" t="s">
        <v>16</v>
      </c>
      <c r="D18" s="13">
        <v>7996283</v>
      </c>
      <c r="E18" s="13">
        <v>6416846.3802819997</v>
      </c>
      <c r="F18" s="12">
        <v>394.85915499999999</v>
      </c>
      <c r="G18" s="12" t="s">
        <v>17</v>
      </c>
      <c r="H18" s="12" t="s">
        <v>17</v>
      </c>
      <c r="I18" s="12">
        <v>4000</v>
      </c>
      <c r="J18" s="12">
        <v>236</v>
      </c>
      <c r="K18" s="13">
        <v>13149</v>
      </c>
      <c r="L18" s="13">
        <v>1999.0707500000001</v>
      </c>
      <c r="M18" s="13">
        <v>2697.3373649999999</v>
      </c>
      <c r="N18" s="12">
        <v>23.325620000000001</v>
      </c>
      <c r="P18" t="s">
        <v>78</v>
      </c>
    </row>
    <row r="19" spans="1:16" x14ac:dyDescent="0.25">
      <c r="A19" s="12">
        <v>15</v>
      </c>
      <c r="B19" s="12" t="s">
        <v>39</v>
      </c>
      <c r="C19" s="12" t="s">
        <v>16</v>
      </c>
      <c r="D19" s="13">
        <v>8105460</v>
      </c>
      <c r="E19" s="13">
        <v>6279460</v>
      </c>
      <c r="F19" s="12">
        <v>456.5</v>
      </c>
      <c r="G19" s="12" t="s">
        <v>17</v>
      </c>
      <c r="H19" s="12" t="s">
        <v>17</v>
      </c>
      <c r="I19" s="12">
        <v>4000</v>
      </c>
      <c r="J19" s="12">
        <v>227</v>
      </c>
      <c r="K19" s="13">
        <v>13578</v>
      </c>
      <c r="L19" s="13">
        <v>2026.365</v>
      </c>
      <c r="M19" s="13">
        <v>2692.3885289999998</v>
      </c>
      <c r="N19" s="12">
        <v>23.325620000000001</v>
      </c>
      <c r="P19" t="s">
        <v>79</v>
      </c>
    </row>
    <row r="20" spans="1:16" x14ac:dyDescent="0.25">
      <c r="A20" s="12">
        <v>16</v>
      </c>
      <c r="B20" s="12" t="s">
        <v>40</v>
      </c>
      <c r="C20" s="12" t="s">
        <v>16</v>
      </c>
      <c r="D20" s="13">
        <v>8831321</v>
      </c>
      <c r="E20" s="13">
        <v>6825447.7605630001</v>
      </c>
      <c r="F20" s="12">
        <v>501.46830999999997</v>
      </c>
      <c r="G20" s="12" t="s">
        <v>17</v>
      </c>
      <c r="H20" s="12" t="s">
        <v>17</v>
      </c>
      <c r="I20" s="12">
        <v>4000</v>
      </c>
      <c r="J20" s="12">
        <v>245</v>
      </c>
      <c r="K20" s="13">
        <v>15112</v>
      </c>
      <c r="L20" s="13">
        <v>2207.83025</v>
      </c>
      <c r="M20" s="13">
        <v>3033.6281090000002</v>
      </c>
      <c r="N20" s="12">
        <v>23.325620000000001</v>
      </c>
      <c r="P20" t="s">
        <v>80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linear 10mer Cy5</vt:lpstr>
      <vt:lpstr>Other 10mers 04-05-2023</vt:lpstr>
      <vt:lpstr>Repeat_15-05-2023</vt:lpstr>
    </vt:vector>
  </TitlesOfParts>
  <Company>MPI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Wolfram-Schauerte Maik</dc:creator>
  <cp:lastModifiedBy>Wolfram-Schauerte Maik</cp:lastModifiedBy>
  <dcterms:created xsi:type="dcterms:W3CDTF">2023-05-12T13:02:32Z</dcterms:created>
  <dcterms:modified xsi:type="dcterms:W3CDTF">2023-05-19T06:22:53Z</dcterms:modified>
</cp:coreProperties>
</file>