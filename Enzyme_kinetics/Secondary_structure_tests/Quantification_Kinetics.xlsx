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Lab Members\Maik\Project_NAD-captureSeq_final_data\Secondary_structure_tests\"/>
    </mc:Choice>
  </mc:AlternateContent>
  <bookViews>
    <workbookView xWindow="0" yWindow="0" windowWidth="21570" windowHeight="9405" activeTab="4"/>
  </bookViews>
  <sheets>
    <sheet name="R1" sheetId="3" r:id="rId1"/>
    <sheet name="R2" sheetId="2" r:id="rId2"/>
    <sheet name="R3" sheetId="1" r:id="rId3"/>
    <sheet name="Summarised_data" sheetId="4" r:id="rId4"/>
    <sheet name="Data_for_plo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8" i="3" l="1"/>
  <c r="R29" i="3"/>
  <c r="R30" i="3"/>
  <c r="R31" i="3"/>
  <c r="R32" i="3"/>
  <c r="R33" i="3"/>
  <c r="R34" i="3"/>
  <c r="R27" i="3"/>
  <c r="R20" i="3"/>
  <c r="R21" i="3"/>
  <c r="R22" i="3"/>
  <c r="R23" i="3"/>
  <c r="R24" i="3"/>
  <c r="R25" i="3"/>
  <c r="R26" i="3"/>
  <c r="R19" i="3"/>
  <c r="R12" i="3"/>
  <c r="R13" i="3"/>
  <c r="R14" i="3"/>
  <c r="R15" i="3"/>
  <c r="R16" i="3"/>
  <c r="R17" i="3"/>
  <c r="R18" i="3"/>
  <c r="R11" i="3"/>
  <c r="R4" i="3"/>
  <c r="R5" i="3"/>
  <c r="R6" i="3"/>
  <c r="R7" i="3"/>
  <c r="R8" i="3"/>
  <c r="R9" i="3"/>
  <c r="R10" i="3"/>
  <c r="R3" i="3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" i="4"/>
  <c r="R28" i="1" l="1"/>
  <c r="R29" i="1"/>
  <c r="R30" i="1"/>
  <c r="R31" i="1"/>
  <c r="R32" i="1"/>
  <c r="R33" i="1"/>
  <c r="R34" i="1"/>
  <c r="R27" i="1"/>
  <c r="R20" i="1"/>
  <c r="R21" i="1"/>
  <c r="R22" i="1"/>
  <c r="R23" i="1"/>
  <c r="R24" i="1"/>
  <c r="R25" i="1"/>
  <c r="R26" i="1"/>
  <c r="R19" i="1"/>
  <c r="R12" i="1"/>
  <c r="R13" i="1"/>
  <c r="R14" i="1"/>
  <c r="R15" i="1"/>
  <c r="R16" i="1"/>
  <c r="R17" i="1"/>
  <c r="R18" i="1"/>
  <c r="R11" i="1"/>
  <c r="R4" i="1"/>
  <c r="R5" i="1"/>
  <c r="R6" i="1"/>
  <c r="R7" i="1"/>
  <c r="R8" i="1"/>
  <c r="R9" i="1"/>
  <c r="R10" i="1"/>
  <c r="R3" i="1"/>
  <c r="R28" i="2"/>
  <c r="R29" i="2"/>
  <c r="R30" i="2"/>
  <c r="R31" i="2"/>
  <c r="R32" i="2"/>
  <c r="R33" i="2"/>
  <c r="R34" i="2"/>
  <c r="R27" i="2"/>
  <c r="R20" i="2"/>
  <c r="R21" i="2"/>
  <c r="R22" i="2"/>
  <c r="R23" i="2"/>
  <c r="R24" i="2"/>
  <c r="R25" i="2"/>
  <c r="R26" i="2"/>
  <c r="R19" i="2"/>
  <c r="R12" i="2"/>
  <c r="R13" i="2"/>
  <c r="R14" i="2"/>
  <c r="R15" i="2"/>
  <c r="R16" i="2"/>
  <c r="R17" i="2"/>
  <c r="R18" i="2"/>
  <c r="R11" i="2"/>
  <c r="R4" i="2"/>
  <c r="R5" i="2"/>
  <c r="R6" i="2"/>
  <c r="R7" i="2"/>
  <c r="R8" i="2"/>
  <c r="R9" i="2"/>
  <c r="R10" i="2"/>
  <c r="R3" i="2"/>
</calcChain>
</file>

<file path=xl/sharedStrings.xml><?xml version="1.0" encoding="utf-8"?>
<sst xmlns="http://schemas.openxmlformats.org/spreadsheetml/2006/main" count="609" uniqueCount="63">
  <si>
    <t>2023-05-17_NudEl_sec_struc_kinetics_R3</t>
  </si>
  <si>
    <t>No.</t>
  </si>
  <si>
    <t>Label</t>
  </si>
  <si>
    <t>Type</t>
  </si>
  <si>
    <t>Volume (Int)</t>
  </si>
  <si>
    <t>Adj. Vol. (Int)</t>
  </si>
  <si>
    <t>Mean Bkgd. (Int)</t>
  </si>
  <si>
    <t>Abs. Quant.</t>
  </si>
  <si>
    <t>Rel. Quant.</t>
  </si>
  <si>
    <t># of Pixels</t>
  </si>
  <si>
    <t>Min. Value (Int)</t>
  </si>
  <si>
    <t>Max. Value (Int)</t>
  </si>
  <si>
    <t>Mean Value (Int)</t>
  </si>
  <si>
    <t>Std. Dev.</t>
  </si>
  <si>
    <t>Area (mm2)</t>
  </si>
  <si>
    <t>U1</t>
  </si>
  <si>
    <t>Unknown</t>
  </si>
  <si>
    <t>N/A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</si>
  <si>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</si>
  <si>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</si>
  <si>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</si>
  <si>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</si>
  <si>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</si>
  <si>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</si>
  <si>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</si>
  <si>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</si>
  <si>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</si>
  <si>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</si>
  <si>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</si>
  <si>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</si>
  <si>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</si>
  <si>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</si>
  <si>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</si>
  <si>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</si>
  <si>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</si>
  <si>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</si>
  <si>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</si>
  <si>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</si>
  <si>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</si>
  <si>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</si>
  <si>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</si>
  <si>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</si>
  <si>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</si>
  <si>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</si>
  <si>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</si>
  <si>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</si>
  <si>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</si>
  <si>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</si>
  <si>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</si>
  <si>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Substrate</t>
  </si>
  <si>
    <t>Time</t>
  </si>
  <si>
    <t>Norm value</t>
  </si>
  <si>
    <t>linear</t>
  </si>
  <si>
    <t>blunt</t>
  </si>
  <si>
    <t>3'-overhang</t>
  </si>
  <si>
    <t>5'-overhang</t>
  </si>
  <si>
    <t>2023-05-17_NudEl_sec_struc_kinetics_R2_quantified</t>
  </si>
  <si>
    <t>2023-05-16_NudEl_sec_struc_kinetics_R1_3s_quantified</t>
  </si>
  <si>
    <t>R1</t>
  </si>
  <si>
    <t>R2</t>
  </si>
  <si>
    <t>R3</t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</si>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</sst>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0" fontId="1" fillId="0" borderId="0" xfId="0" applyFont="1"/>
    <xf numFmtId="0" fontId="0" fillId="0" borderId="0" xfId="0"/>
    <xf numFmtId="4" fontId="0" fillId="0" borderId="0" xfId="0" applyNumberFormat="1"/>
    <xf numFmtId="0" fontId="0" fillId="0" borderId="0" xfId="0"/>
    <xf numFmtId="4" fontId="0" fillId="0" borderId="0" xfId="0" applyNumberForma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workbookViewId="0">
      <selection activeCell="R3" sqref="R3:R34"/>
    </sheetView>
  </sheetViews>
  <sheetFormatPr defaultRowHeight="15" x14ac:dyDescent="0.25"/>
  <cols>
    <col min="4" max="4" width="15.85546875" customWidth="1"/>
    <col min="5" max="5" width="17.28515625" customWidth="1"/>
    <col min="16" max="16" width="11.7109375" style="5" customWidth="1"/>
    <col min="17" max="17" width="9.140625" style="5"/>
    <col min="18" max="18" width="11.85546875" style="5" customWidth="1"/>
  </cols>
  <sheetData>
    <row r="1" spans="1:18" x14ac:dyDescent="0.25">
      <c r="A1" s="2" t="s">
        <v>57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8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P2" s="2" t="s">
        <v>49</v>
      </c>
      <c r="Q2" s="2" t="s">
        <v>50</v>
      </c>
      <c r="R2" s="2" t="s">
        <v>51</v>
      </c>
    </row>
    <row r="3" spans="1:18" x14ac:dyDescent="0.25">
      <c r="A3" s="5">
        <v>1</v>
      </c>
      <c r="B3" s="5" t="s">
        <v>15</v>
      </c>
      <c r="C3" s="5" t="s">
        <v>16</v>
      </c>
      <c r="D3" s="6">
        <v>5722584</v>
      </c>
      <c r="E3" s="6">
        <v>3861408.0465119998</v>
      </c>
      <c r="F3" s="5">
        <v>599.99224800000002</v>
      </c>
      <c r="G3" s="5" t="s">
        <v>17</v>
      </c>
      <c r="H3" s="5" t="s">
        <v>17</v>
      </c>
      <c r="I3" s="5">
        <v>3102</v>
      </c>
      <c r="J3" s="5">
        <v>344</v>
      </c>
      <c r="K3" s="6">
        <v>5469</v>
      </c>
      <c r="L3" s="6">
        <v>1844.8046420000001</v>
      </c>
      <c r="M3" s="6">
        <v>1449.6560629999999</v>
      </c>
      <c r="N3" s="5">
        <v>18.089017999999999</v>
      </c>
      <c r="P3" s="5" t="s">
        <v>52</v>
      </c>
      <c r="Q3" s="5">
        <v>0</v>
      </c>
      <c r="R3" s="5">
        <f>E3/3861408.046512</f>
        <v>1</v>
      </c>
    </row>
    <row r="4" spans="1:18" x14ac:dyDescent="0.25">
      <c r="A4" s="5">
        <v>2</v>
      </c>
      <c r="B4" s="5" t="s">
        <v>18</v>
      </c>
      <c r="C4" s="5" t="s">
        <v>16</v>
      </c>
      <c r="D4" s="6">
        <v>4257112</v>
      </c>
      <c r="E4" s="6">
        <v>2677111.9069770002</v>
      </c>
      <c r="F4" s="5">
        <v>509.348837</v>
      </c>
      <c r="G4" s="5" t="s">
        <v>17</v>
      </c>
      <c r="H4" s="5" t="s">
        <v>17</v>
      </c>
      <c r="I4" s="5">
        <v>3102</v>
      </c>
      <c r="J4" s="5">
        <v>339</v>
      </c>
      <c r="K4" s="6">
        <v>3821</v>
      </c>
      <c r="L4" s="6">
        <v>1372.3765310000001</v>
      </c>
      <c r="M4" s="5">
        <v>965.972801</v>
      </c>
      <c r="N4" s="5">
        <v>18.089017999999999</v>
      </c>
      <c r="P4" s="5" t="s">
        <v>52</v>
      </c>
      <c r="Q4" s="5">
        <v>1</v>
      </c>
      <c r="R4" s="5">
        <f t="shared" ref="R4:R10" si="0">E4/3861408.046512</f>
        <v>0.69329940651965771</v>
      </c>
    </row>
    <row r="5" spans="1:18" x14ac:dyDescent="0.25">
      <c r="A5" s="5">
        <v>3</v>
      </c>
      <c r="B5" s="5" t="s">
        <v>19</v>
      </c>
      <c r="C5" s="5" t="s">
        <v>16</v>
      </c>
      <c r="D5" s="6">
        <v>3422121</v>
      </c>
      <c r="E5" s="6">
        <v>1994936.4883719999</v>
      </c>
      <c r="F5" s="5">
        <v>460.08527099999998</v>
      </c>
      <c r="G5" s="5" t="s">
        <v>17</v>
      </c>
      <c r="H5" s="5" t="s">
        <v>17</v>
      </c>
      <c r="I5" s="5">
        <v>3102</v>
      </c>
      <c r="J5" s="5">
        <v>308</v>
      </c>
      <c r="K5" s="6">
        <v>2884</v>
      </c>
      <c r="L5" s="6">
        <v>1103.198259</v>
      </c>
      <c r="M5" s="5">
        <v>710.67169000000001</v>
      </c>
      <c r="N5" s="5">
        <v>18.089017999999999</v>
      </c>
      <c r="P5" s="5" t="s">
        <v>52</v>
      </c>
      <c r="Q5" s="5">
        <v>3</v>
      </c>
      <c r="R5" s="5">
        <f t="shared" si="0"/>
        <v>0.51663446710171468</v>
      </c>
    </row>
    <row r="6" spans="1:18" x14ac:dyDescent="0.25">
      <c r="A6" s="5">
        <v>4</v>
      </c>
      <c r="B6" s="5" t="s">
        <v>20</v>
      </c>
      <c r="C6" s="5" t="s">
        <v>16</v>
      </c>
      <c r="D6" s="6">
        <v>2892309</v>
      </c>
      <c r="E6" s="6">
        <v>1498092.255814</v>
      </c>
      <c r="F6" s="5">
        <v>449.45736399999998</v>
      </c>
      <c r="G6" s="5" t="s">
        <v>17</v>
      </c>
      <c r="H6" s="5" t="s">
        <v>17</v>
      </c>
      <c r="I6" s="5">
        <v>3102</v>
      </c>
      <c r="J6" s="5">
        <v>325</v>
      </c>
      <c r="K6" s="6">
        <v>2355</v>
      </c>
      <c r="L6" s="5">
        <v>932.40135399999997</v>
      </c>
      <c r="M6" s="5">
        <v>544.93076099999996</v>
      </c>
      <c r="N6" s="5">
        <v>18.089017999999999</v>
      </c>
      <c r="P6" s="5" t="s">
        <v>52</v>
      </c>
      <c r="Q6" s="5">
        <v>5</v>
      </c>
      <c r="R6" s="5">
        <f t="shared" si="0"/>
        <v>0.38796528048032192</v>
      </c>
    </row>
    <row r="7" spans="1:18" x14ac:dyDescent="0.25">
      <c r="A7" s="5">
        <v>5</v>
      </c>
      <c r="B7" s="5" t="s">
        <v>21</v>
      </c>
      <c r="C7" s="5" t="s">
        <v>16</v>
      </c>
      <c r="D7" s="6">
        <v>2192022</v>
      </c>
      <c r="E7" s="6">
        <v>855132.13953499997</v>
      </c>
      <c r="F7" s="5">
        <v>430.976744</v>
      </c>
      <c r="G7" s="5" t="s">
        <v>17</v>
      </c>
      <c r="H7" s="5" t="s">
        <v>17</v>
      </c>
      <c r="I7" s="5">
        <v>3102</v>
      </c>
      <c r="J7" s="5">
        <v>323</v>
      </c>
      <c r="K7" s="6">
        <v>1519</v>
      </c>
      <c r="L7" s="5">
        <v>706.64796899999999</v>
      </c>
      <c r="M7" s="5">
        <v>310.60289299999999</v>
      </c>
      <c r="N7" s="5">
        <v>18.089017999999999</v>
      </c>
      <c r="P7" s="5" t="s">
        <v>52</v>
      </c>
      <c r="Q7" s="5">
        <v>10</v>
      </c>
      <c r="R7" s="5">
        <f t="shared" si="0"/>
        <v>0.22145604122502377</v>
      </c>
    </row>
    <row r="8" spans="1:18" x14ac:dyDescent="0.25">
      <c r="A8" s="5">
        <v>6</v>
      </c>
      <c r="B8" s="5" t="s">
        <v>22</v>
      </c>
      <c r="C8" s="5" t="s">
        <v>16</v>
      </c>
      <c r="D8" s="6">
        <v>1731036</v>
      </c>
      <c r="E8" s="6">
        <v>439618.09302299999</v>
      </c>
      <c r="F8" s="5">
        <v>416.31782900000002</v>
      </c>
      <c r="G8" s="5" t="s">
        <v>17</v>
      </c>
      <c r="H8" s="5" t="s">
        <v>17</v>
      </c>
      <c r="I8" s="5">
        <v>3102</v>
      </c>
      <c r="J8" s="5">
        <v>310</v>
      </c>
      <c r="K8" s="5">
        <v>983</v>
      </c>
      <c r="L8" s="5">
        <v>558.03868499999999</v>
      </c>
      <c r="M8" s="5">
        <v>158.346193</v>
      </c>
      <c r="N8" s="5">
        <v>18.089017999999999</v>
      </c>
      <c r="P8" s="5" t="s">
        <v>52</v>
      </c>
      <c r="Q8" s="5">
        <v>30</v>
      </c>
      <c r="R8" s="5">
        <f t="shared" si="0"/>
        <v>0.11384916790135814</v>
      </c>
    </row>
    <row r="9" spans="1:18" x14ac:dyDescent="0.25">
      <c r="A9" s="5">
        <v>7</v>
      </c>
      <c r="B9" s="5" t="s">
        <v>23</v>
      </c>
      <c r="C9" s="5" t="s">
        <v>16</v>
      </c>
      <c r="D9" s="6">
        <v>1546526</v>
      </c>
      <c r="E9" s="6">
        <v>286609.02325600001</v>
      </c>
      <c r="F9" s="5">
        <v>406.16279100000003</v>
      </c>
      <c r="G9" s="5" t="s">
        <v>17</v>
      </c>
      <c r="H9" s="5" t="s">
        <v>17</v>
      </c>
      <c r="I9" s="5">
        <v>3102</v>
      </c>
      <c r="J9" s="5">
        <v>323</v>
      </c>
      <c r="K9" s="5">
        <v>777</v>
      </c>
      <c r="L9" s="5">
        <v>498.557705</v>
      </c>
      <c r="M9" s="5">
        <v>98.474917000000005</v>
      </c>
      <c r="N9" s="5">
        <v>18.089017999999999</v>
      </c>
      <c r="P9" s="5" t="s">
        <v>52</v>
      </c>
      <c r="Q9" s="5">
        <v>60</v>
      </c>
      <c r="R9" s="5">
        <f t="shared" si="0"/>
        <v>7.4223966958087542E-2</v>
      </c>
    </row>
    <row r="10" spans="1:18" x14ac:dyDescent="0.25">
      <c r="A10" s="5">
        <v>8</v>
      </c>
      <c r="B10" s="5" t="s">
        <v>24</v>
      </c>
      <c r="C10" s="5" t="s">
        <v>16</v>
      </c>
      <c r="D10" s="6">
        <v>1601067</v>
      </c>
      <c r="E10" s="6">
        <v>329523.53488400002</v>
      </c>
      <c r="F10" s="5">
        <v>409.91085299999997</v>
      </c>
      <c r="G10" s="5" t="s">
        <v>17</v>
      </c>
      <c r="H10" s="5" t="s">
        <v>17</v>
      </c>
      <c r="I10" s="5">
        <v>3102</v>
      </c>
      <c r="J10" s="5">
        <v>304</v>
      </c>
      <c r="K10" s="5">
        <v>844</v>
      </c>
      <c r="L10" s="5">
        <v>516.14023199999997</v>
      </c>
      <c r="M10" s="5">
        <v>129.14051499999999</v>
      </c>
      <c r="N10" s="5">
        <v>18.089017999999999</v>
      </c>
      <c r="P10" s="5" t="s">
        <v>52</v>
      </c>
      <c r="Q10" s="5">
        <v>120</v>
      </c>
      <c r="R10" s="5">
        <f t="shared" si="0"/>
        <v>8.5337662043165272E-2</v>
      </c>
    </row>
    <row r="11" spans="1:18" x14ac:dyDescent="0.25">
      <c r="A11" s="5">
        <v>9</v>
      </c>
      <c r="B11" s="5" t="s">
        <v>25</v>
      </c>
      <c r="C11" s="5" t="s">
        <v>16</v>
      </c>
      <c r="D11" s="6">
        <v>13567038</v>
      </c>
      <c r="E11" s="6">
        <v>10951222.395349</v>
      </c>
      <c r="F11" s="5">
        <v>843.26744199999996</v>
      </c>
      <c r="G11" s="5" t="s">
        <v>17</v>
      </c>
      <c r="H11" s="5" t="s">
        <v>17</v>
      </c>
      <c r="I11" s="5">
        <v>3102</v>
      </c>
      <c r="J11" s="5">
        <v>311</v>
      </c>
      <c r="K11" s="6">
        <v>13375</v>
      </c>
      <c r="L11" s="6">
        <v>4373.6421659999996</v>
      </c>
      <c r="M11" s="6">
        <v>3712.164366</v>
      </c>
      <c r="N11" s="5">
        <v>18.089017999999999</v>
      </c>
      <c r="P11" s="5" t="s">
        <v>53</v>
      </c>
      <c r="Q11" s="5">
        <v>0</v>
      </c>
      <c r="R11" s="5">
        <f>E11/10951222.395349</f>
        <v>1</v>
      </c>
    </row>
    <row r="12" spans="1:18" x14ac:dyDescent="0.25">
      <c r="A12" s="5">
        <v>10</v>
      </c>
      <c r="B12" s="5" t="s">
        <v>26</v>
      </c>
      <c r="C12" s="5" t="s">
        <v>16</v>
      </c>
      <c r="D12" s="6">
        <v>9862637</v>
      </c>
      <c r="E12" s="6">
        <v>7835335.7209299998</v>
      </c>
      <c r="F12" s="5">
        <v>653.54651200000001</v>
      </c>
      <c r="G12" s="5" t="s">
        <v>17</v>
      </c>
      <c r="H12" s="5" t="s">
        <v>17</v>
      </c>
      <c r="I12" s="5">
        <v>3102</v>
      </c>
      <c r="J12" s="5">
        <v>290</v>
      </c>
      <c r="K12" s="6">
        <v>9105</v>
      </c>
      <c r="L12" s="6">
        <v>3179.4445519999999</v>
      </c>
      <c r="M12" s="6">
        <v>2578.9988320000002</v>
      </c>
      <c r="N12" s="5">
        <v>18.089017999999999</v>
      </c>
      <c r="P12" s="5" t="s">
        <v>53</v>
      </c>
      <c r="Q12" s="5">
        <v>1</v>
      </c>
      <c r="R12" s="5">
        <f t="shared" ref="R12:R18" si="1">E12/10951222.395349</f>
        <v>0.71547590196485089</v>
      </c>
    </row>
    <row r="13" spans="1:18" x14ac:dyDescent="0.25">
      <c r="A13" s="5">
        <v>11</v>
      </c>
      <c r="B13" s="5" t="s">
        <v>27</v>
      </c>
      <c r="C13" s="5" t="s">
        <v>16</v>
      </c>
      <c r="D13" s="6">
        <v>6925104</v>
      </c>
      <c r="E13" s="6">
        <v>5216274.7209299998</v>
      </c>
      <c r="F13" s="5">
        <v>550.87984500000005</v>
      </c>
      <c r="G13" s="5" t="s">
        <v>17</v>
      </c>
      <c r="H13" s="5" t="s">
        <v>17</v>
      </c>
      <c r="I13" s="5">
        <v>3102</v>
      </c>
      <c r="J13" s="5">
        <v>289</v>
      </c>
      <c r="K13" s="6">
        <v>5890</v>
      </c>
      <c r="L13" s="6">
        <v>2232.4642170000002</v>
      </c>
      <c r="M13" s="6">
        <v>1652.232602</v>
      </c>
      <c r="N13" s="5">
        <v>18.089017999999999</v>
      </c>
      <c r="P13" s="5" t="s">
        <v>53</v>
      </c>
      <c r="Q13" s="5">
        <v>3</v>
      </c>
      <c r="R13" s="5">
        <f t="shared" si="1"/>
        <v>0.47631894711090511</v>
      </c>
    </row>
    <row r="14" spans="1:18" x14ac:dyDescent="0.25">
      <c r="A14" s="5">
        <v>12</v>
      </c>
      <c r="B14" s="5" t="s">
        <v>28</v>
      </c>
      <c r="C14" s="5" t="s">
        <v>16</v>
      </c>
      <c r="D14" s="6">
        <v>5088409</v>
      </c>
      <c r="E14" s="6">
        <v>3664735.2790700002</v>
      </c>
      <c r="F14" s="5">
        <v>458.95348799999999</v>
      </c>
      <c r="G14" s="5" t="s">
        <v>17</v>
      </c>
      <c r="H14" s="5" t="s">
        <v>17</v>
      </c>
      <c r="I14" s="5">
        <v>3102</v>
      </c>
      <c r="J14" s="5">
        <v>284</v>
      </c>
      <c r="K14" s="6">
        <v>4446</v>
      </c>
      <c r="L14" s="6">
        <v>1640.363959</v>
      </c>
      <c r="M14" s="6">
        <v>1203.842564</v>
      </c>
      <c r="N14" s="5">
        <v>18.089017999999999</v>
      </c>
      <c r="P14" s="5" t="s">
        <v>53</v>
      </c>
      <c r="Q14" s="5">
        <v>5</v>
      </c>
      <c r="R14" s="5">
        <f t="shared" si="1"/>
        <v>0.33464166343899826</v>
      </c>
    </row>
    <row r="15" spans="1:18" x14ac:dyDescent="0.25">
      <c r="A15" s="5">
        <v>13</v>
      </c>
      <c r="B15" s="5" t="s">
        <v>29</v>
      </c>
      <c r="C15" s="5" t="s">
        <v>16</v>
      </c>
      <c r="D15" s="6">
        <v>3053937</v>
      </c>
      <c r="E15" s="6">
        <v>1773003.372093</v>
      </c>
      <c r="F15" s="5">
        <v>412.93798399999997</v>
      </c>
      <c r="G15" s="5" t="s">
        <v>17</v>
      </c>
      <c r="H15" s="5" t="s">
        <v>17</v>
      </c>
      <c r="I15" s="5">
        <v>3102</v>
      </c>
      <c r="J15" s="5">
        <v>261</v>
      </c>
      <c r="K15" s="6">
        <v>2477</v>
      </c>
      <c r="L15" s="5">
        <v>984.50580300000001</v>
      </c>
      <c r="M15" s="5">
        <v>620.58058900000003</v>
      </c>
      <c r="N15" s="5">
        <v>18.089017999999999</v>
      </c>
      <c r="P15" s="5" t="s">
        <v>53</v>
      </c>
      <c r="Q15" s="5">
        <v>10</v>
      </c>
      <c r="R15" s="5">
        <f t="shared" si="1"/>
        <v>0.16190004257844284</v>
      </c>
    </row>
    <row r="16" spans="1:18" x14ac:dyDescent="0.25">
      <c r="A16" s="5">
        <v>14</v>
      </c>
      <c r="B16" s="5" t="s">
        <v>30</v>
      </c>
      <c r="C16" s="5" t="s">
        <v>16</v>
      </c>
      <c r="D16" s="6">
        <v>1670184</v>
      </c>
      <c r="E16" s="6">
        <v>558597.93023299996</v>
      </c>
      <c r="F16" s="5">
        <v>358.34496100000001</v>
      </c>
      <c r="G16" s="5" t="s">
        <v>17</v>
      </c>
      <c r="H16" s="5" t="s">
        <v>17</v>
      </c>
      <c r="I16" s="5">
        <v>3102</v>
      </c>
      <c r="J16" s="5">
        <v>270</v>
      </c>
      <c r="K16" s="6">
        <v>1005</v>
      </c>
      <c r="L16" s="5">
        <v>538.42166299999997</v>
      </c>
      <c r="M16" s="5">
        <v>187.85944699999999</v>
      </c>
      <c r="N16" s="5">
        <v>18.089017999999999</v>
      </c>
      <c r="P16" s="5" t="s">
        <v>53</v>
      </c>
      <c r="Q16" s="5">
        <v>30</v>
      </c>
      <c r="R16" s="5">
        <f t="shared" si="1"/>
        <v>5.1007815389653426E-2</v>
      </c>
    </row>
    <row r="17" spans="1:18" x14ac:dyDescent="0.25">
      <c r="A17" s="5">
        <v>15</v>
      </c>
      <c r="B17" s="5" t="s">
        <v>31</v>
      </c>
      <c r="C17" s="5" t="s">
        <v>16</v>
      </c>
      <c r="D17" s="6">
        <v>1298203</v>
      </c>
      <c r="E17" s="6">
        <v>245061.97674400001</v>
      </c>
      <c r="F17" s="5">
        <v>339.50387599999999</v>
      </c>
      <c r="G17" s="5" t="s">
        <v>17</v>
      </c>
      <c r="H17" s="5" t="s">
        <v>17</v>
      </c>
      <c r="I17" s="5">
        <v>3102</v>
      </c>
      <c r="J17" s="5">
        <v>247</v>
      </c>
      <c r="K17" s="5">
        <v>655</v>
      </c>
      <c r="L17" s="5">
        <v>418.50515799999999</v>
      </c>
      <c r="M17" s="5">
        <v>97.765946999999997</v>
      </c>
      <c r="N17" s="5">
        <v>18.089017999999999</v>
      </c>
      <c r="P17" s="5" t="s">
        <v>53</v>
      </c>
      <c r="Q17" s="5">
        <v>60</v>
      </c>
      <c r="R17" s="5">
        <f t="shared" si="1"/>
        <v>2.2377591094130112E-2</v>
      </c>
    </row>
    <row r="18" spans="1:18" x14ac:dyDescent="0.25">
      <c r="A18" s="5">
        <v>16</v>
      </c>
      <c r="B18" s="5" t="s">
        <v>32</v>
      </c>
      <c r="C18" s="5" t="s">
        <v>16</v>
      </c>
      <c r="D18" s="6">
        <v>1270239</v>
      </c>
      <c r="E18" s="6">
        <v>210304.83720899999</v>
      </c>
      <c r="F18" s="5">
        <v>341.69379800000002</v>
      </c>
      <c r="G18" s="5" t="s">
        <v>17</v>
      </c>
      <c r="H18" s="5" t="s">
        <v>17</v>
      </c>
      <c r="I18" s="5">
        <v>3102</v>
      </c>
      <c r="J18" s="5">
        <v>257</v>
      </c>
      <c r="K18" s="5">
        <v>646</v>
      </c>
      <c r="L18" s="5">
        <v>409.49032899999997</v>
      </c>
      <c r="M18" s="5">
        <v>90.802119000000005</v>
      </c>
      <c r="N18" s="5">
        <v>18.089017999999999</v>
      </c>
      <c r="P18" s="5" t="s">
        <v>53</v>
      </c>
      <c r="Q18" s="5">
        <v>120</v>
      </c>
      <c r="R18" s="5">
        <f t="shared" si="1"/>
        <v>1.9203777406467133E-2</v>
      </c>
    </row>
    <row r="19" spans="1:18" x14ac:dyDescent="0.25">
      <c r="A19" s="5">
        <v>17</v>
      </c>
      <c r="B19" s="5" t="s">
        <v>33</v>
      </c>
      <c r="C19" s="5" t="s">
        <v>16</v>
      </c>
      <c r="D19" s="6">
        <v>13803904</v>
      </c>
      <c r="E19" s="6">
        <v>11557947.790697999</v>
      </c>
      <c r="F19" s="5">
        <v>724.03488400000003</v>
      </c>
      <c r="G19" s="5" t="s">
        <v>17</v>
      </c>
      <c r="H19" s="5" t="s">
        <v>17</v>
      </c>
      <c r="I19" s="5">
        <v>3102</v>
      </c>
      <c r="J19" s="5">
        <v>261</v>
      </c>
      <c r="K19" s="6">
        <v>13630</v>
      </c>
      <c r="L19" s="6">
        <v>4450.0012889999998</v>
      </c>
      <c r="M19" s="6">
        <v>4081.1195809999999</v>
      </c>
      <c r="N19" s="5">
        <v>18.089017999999999</v>
      </c>
      <c r="P19" s="5" t="s">
        <v>54</v>
      </c>
      <c r="Q19" s="5">
        <v>0</v>
      </c>
      <c r="R19" s="5">
        <f>E19/11557947.790698</f>
        <v>1</v>
      </c>
    </row>
    <row r="20" spans="1:18" x14ac:dyDescent="0.25">
      <c r="A20" s="5">
        <v>18</v>
      </c>
      <c r="B20" s="5" t="s">
        <v>34</v>
      </c>
      <c r="C20" s="5" t="s">
        <v>16</v>
      </c>
      <c r="D20" s="6">
        <v>8655590</v>
      </c>
      <c r="E20" s="6">
        <v>6779060.3488370003</v>
      </c>
      <c r="F20" s="5">
        <v>604.94186000000002</v>
      </c>
      <c r="G20" s="5" t="s">
        <v>17</v>
      </c>
      <c r="H20" s="5" t="s">
        <v>17</v>
      </c>
      <c r="I20" s="5">
        <v>3102</v>
      </c>
      <c r="J20" s="5">
        <v>281</v>
      </c>
      <c r="K20" s="6">
        <v>8734</v>
      </c>
      <c r="L20" s="6">
        <v>2790.3255960000001</v>
      </c>
      <c r="M20" s="6">
        <v>2316.4785750000001</v>
      </c>
      <c r="N20" s="5">
        <v>18.089017999999999</v>
      </c>
      <c r="P20" s="5" t="s">
        <v>54</v>
      </c>
      <c r="Q20" s="5">
        <v>1</v>
      </c>
      <c r="R20" s="5">
        <f t="shared" ref="R20:R26" si="2">E20/11557947.790698</f>
        <v>0.58652803002734488</v>
      </c>
    </row>
    <row r="21" spans="1:18" x14ac:dyDescent="0.25">
      <c r="A21" s="5">
        <v>19</v>
      </c>
      <c r="B21" s="5" t="s">
        <v>35</v>
      </c>
      <c r="C21" s="5" t="s">
        <v>16</v>
      </c>
      <c r="D21" s="6">
        <v>4335587</v>
      </c>
      <c r="E21" s="6">
        <v>2905552.9767439999</v>
      </c>
      <c r="F21" s="5">
        <v>461.00387599999999</v>
      </c>
      <c r="G21" s="5" t="s">
        <v>17</v>
      </c>
      <c r="H21" s="5" t="s">
        <v>17</v>
      </c>
      <c r="I21" s="5">
        <v>3102</v>
      </c>
      <c r="J21" s="5">
        <v>272</v>
      </c>
      <c r="K21" s="6">
        <v>3841</v>
      </c>
      <c r="L21" s="6">
        <v>1397.674726</v>
      </c>
      <c r="M21" s="6">
        <v>1024.853286</v>
      </c>
      <c r="N21" s="5">
        <v>18.089017999999999</v>
      </c>
      <c r="P21" s="5" t="s">
        <v>54</v>
      </c>
      <c r="Q21" s="5">
        <v>3</v>
      </c>
      <c r="R21" s="5">
        <f t="shared" si="2"/>
        <v>0.25139004167179491</v>
      </c>
    </row>
    <row r="22" spans="1:18" x14ac:dyDescent="0.25">
      <c r="A22" s="5">
        <v>20</v>
      </c>
      <c r="B22" s="5" t="s">
        <v>36</v>
      </c>
      <c r="C22" s="5" t="s">
        <v>16</v>
      </c>
      <c r="D22" s="6">
        <v>2509565</v>
      </c>
      <c r="E22" s="6">
        <v>1215658.2790699999</v>
      </c>
      <c r="F22" s="5">
        <v>417.12015500000001</v>
      </c>
      <c r="G22" s="5" t="s">
        <v>17</v>
      </c>
      <c r="H22" s="5" t="s">
        <v>17</v>
      </c>
      <c r="I22" s="5">
        <v>3102</v>
      </c>
      <c r="J22" s="5">
        <v>270</v>
      </c>
      <c r="K22" s="6">
        <v>1889</v>
      </c>
      <c r="L22" s="5">
        <v>809.01515199999994</v>
      </c>
      <c r="M22" s="5">
        <v>449.51770800000003</v>
      </c>
      <c r="N22" s="5">
        <v>18.089017999999999</v>
      </c>
      <c r="P22" s="5" t="s">
        <v>54</v>
      </c>
      <c r="Q22" s="5">
        <v>5</v>
      </c>
      <c r="R22" s="5">
        <f t="shared" si="2"/>
        <v>0.10517942294637972</v>
      </c>
    </row>
    <row r="23" spans="1:18" x14ac:dyDescent="0.25">
      <c r="A23" s="5">
        <v>21</v>
      </c>
      <c r="B23" s="5" t="s">
        <v>37</v>
      </c>
      <c r="C23" s="5" t="s">
        <v>16</v>
      </c>
      <c r="D23" s="6">
        <v>1465076</v>
      </c>
      <c r="E23" s="6">
        <v>300034.53488400002</v>
      </c>
      <c r="F23" s="5">
        <v>375.577519</v>
      </c>
      <c r="G23" s="5" t="s">
        <v>17</v>
      </c>
      <c r="H23" s="5" t="s">
        <v>17</v>
      </c>
      <c r="I23" s="5">
        <v>3102</v>
      </c>
      <c r="J23" s="5">
        <v>277</v>
      </c>
      <c r="K23" s="5">
        <v>795</v>
      </c>
      <c r="L23" s="5">
        <v>472.30045100000001</v>
      </c>
      <c r="M23" s="5">
        <v>118.974169</v>
      </c>
      <c r="N23" s="5">
        <v>18.089017999999999</v>
      </c>
      <c r="P23" s="5" t="s">
        <v>54</v>
      </c>
      <c r="Q23" s="5">
        <v>10</v>
      </c>
      <c r="R23" s="5">
        <f t="shared" si="2"/>
        <v>2.595915298436216E-2</v>
      </c>
    </row>
    <row r="24" spans="1:18" x14ac:dyDescent="0.25">
      <c r="A24" s="5">
        <v>22</v>
      </c>
      <c r="B24" s="5" t="s">
        <v>38</v>
      </c>
      <c r="C24" s="5" t="s">
        <v>16</v>
      </c>
      <c r="D24" s="6">
        <v>1184798</v>
      </c>
      <c r="E24" s="6">
        <v>62691.581395000001</v>
      </c>
      <c r="F24" s="5">
        <v>361.73643399999997</v>
      </c>
      <c r="G24" s="5" t="s">
        <v>17</v>
      </c>
      <c r="H24" s="5" t="s">
        <v>17</v>
      </c>
      <c r="I24" s="5">
        <v>3102</v>
      </c>
      <c r="J24" s="5">
        <v>259</v>
      </c>
      <c r="K24" s="5">
        <v>479</v>
      </c>
      <c r="L24" s="5">
        <v>381.94648599999999</v>
      </c>
      <c r="M24" s="5">
        <v>42.907414000000003</v>
      </c>
      <c r="N24" s="5">
        <v>18.089017999999999</v>
      </c>
      <c r="P24" s="5" t="s">
        <v>54</v>
      </c>
      <c r="Q24" s="5">
        <v>30</v>
      </c>
      <c r="R24" s="5">
        <f t="shared" si="2"/>
        <v>5.4241101041704893E-3</v>
      </c>
    </row>
    <row r="25" spans="1:18" x14ac:dyDescent="0.25">
      <c r="A25" s="5">
        <v>23</v>
      </c>
      <c r="B25" s="5" t="s">
        <v>39</v>
      </c>
      <c r="C25" s="5" t="s">
        <v>16</v>
      </c>
      <c r="D25" s="6">
        <v>1134717</v>
      </c>
      <c r="E25" s="6">
        <v>22409.534884000001</v>
      </c>
      <c r="F25" s="5">
        <v>358.577519</v>
      </c>
      <c r="G25" s="5" t="s">
        <v>17</v>
      </c>
      <c r="H25" s="5" t="s">
        <v>17</v>
      </c>
      <c r="I25" s="5">
        <v>3102</v>
      </c>
      <c r="J25" s="5">
        <v>251</v>
      </c>
      <c r="K25" s="5">
        <v>879</v>
      </c>
      <c r="L25" s="5">
        <v>365.80174099999999</v>
      </c>
      <c r="M25" s="5">
        <v>35.360585999999998</v>
      </c>
      <c r="N25" s="5">
        <v>18.089017999999999</v>
      </c>
      <c r="P25" s="5" t="s">
        <v>54</v>
      </c>
      <c r="Q25" s="5">
        <v>60</v>
      </c>
      <c r="R25" s="5">
        <f t="shared" si="2"/>
        <v>1.9388852839459538E-3</v>
      </c>
    </row>
    <row r="26" spans="1:18" x14ac:dyDescent="0.25">
      <c r="A26" s="5">
        <v>24</v>
      </c>
      <c r="B26" s="5" t="s">
        <v>40</v>
      </c>
      <c r="C26" s="5" t="s">
        <v>16</v>
      </c>
      <c r="D26" s="6">
        <v>1113064</v>
      </c>
      <c r="E26" s="6">
        <v>3702.2325580000002</v>
      </c>
      <c r="F26" s="5">
        <v>357.62790699999999</v>
      </c>
      <c r="G26" s="5" t="s">
        <v>17</v>
      </c>
      <c r="H26" s="5" t="s">
        <v>17</v>
      </c>
      <c r="I26" s="5">
        <v>3102</v>
      </c>
      <c r="J26" s="5">
        <v>257</v>
      </c>
      <c r="K26" s="5">
        <v>469</v>
      </c>
      <c r="L26" s="5">
        <v>358.82140600000002</v>
      </c>
      <c r="M26" s="5">
        <v>35.109698000000002</v>
      </c>
      <c r="N26" s="5">
        <v>18.089017999999999</v>
      </c>
      <c r="P26" s="5" t="s">
        <v>54</v>
      </c>
      <c r="Q26" s="5">
        <v>120</v>
      </c>
      <c r="R26" s="5">
        <f t="shared" si="2"/>
        <v>3.2031919723496323E-4</v>
      </c>
    </row>
    <row r="27" spans="1:18" x14ac:dyDescent="0.25">
      <c r="A27" s="5">
        <v>25</v>
      </c>
      <c r="B27" s="5" t="s">
        <v>41</v>
      </c>
      <c r="C27" s="5" t="s">
        <v>16</v>
      </c>
      <c r="D27" s="6">
        <v>19890312</v>
      </c>
      <c r="E27" s="6">
        <v>16464019.666666999</v>
      </c>
      <c r="F27" s="5">
        <v>699.24333300000001</v>
      </c>
      <c r="G27" s="5" t="s">
        <v>17</v>
      </c>
      <c r="H27" s="5" t="s">
        <v>17</v>
      </c>
      <c r="I27" s="5">
        <v>4900</v>
      </c>
      <c r="J27" s="5">
        <v>287</v>
      </c>
      <c r="K27" s="6">
        <v>19932</v>
      </c>
      <c r="L27" s="6">
        <v>4059.247347</v>
      </c>
      <c r="M27" s="6">
        <v>4888.7344270000003</v>
      </c>
      <c r="N27" s="5">
        <v>28.573884</v>
      </c>
      <c r="P27" s="5" t="s">
        <v>55</v>
      </c>
      <c r="Q27" s="5">
        <v>0</v>
      </c>
      <c r="R27" s="5">
        <f>E27/16464019.666667</f>
        <v>1</v>
      </c>
    </row>
    <row r="28" spans="1:18" x14ac:dyDescent="0.25">
      <c r="A28" s="5">
        <v>26</v>
      </c>
      <c r="B28" s="5" t="s">
        <v>42</v>
      </c>
      <c r="C28" s="5" t="s">
        <v>16</v>
      </c>
      <c r="D28" s="6">
        <v>16849144</v>
      </c>
      <c r="E28" s="6">
        <v>13656255</v>
      </c>
      <c r="F28" s="5">
        <v>651.61</v>
      </c>
      <c r="G28" s="5" t="s">
        <v>17</v>
      </c>
      <c r="H28" s="5" t="s">
        <v>17</v>
      </c>
      <c r="I28" s="5">
        <v>4900</v>
      </c>
      <c r="J28" s="5">
        <v>287</v>
      </c>
      <c r="K28" s="6">
        <v>15042</v>
      </c>
      <c r="L28" s="6">
        <v>3438.6008160000001</v>
      </c>
      <c r="M28" s="6">
        <v>3847.1444769999998</v>
      </c>
      <c r="N28" s="5">
        <v>28.573884</v>
      </c>
      <c r="P28" s="5" t="s">
        <v>55</v>
      </c>
      <c r="Q28" s="5">
        <v>1</v>
      </c>
      <c r="R28" s="5">
        <f t="shared" ref="R28:R34" si="3">E28/16464019.666667</f>
        <v>0.82946056166638393</v>
      </c>
    </row>
    <row r="29" spans="1:18" x14ac:dyDescent="0.25">
      <c r="A29" s="5">
        <v>27</v>
      </c>
      <c r="B29" s="5" t="s">
        <v>43</v>
      </c>
      <c r="C29" s="5" t="s">
        <v>16</v>
      </c>
      <c r="D29" s="6">
        <v>13207202</v>
      </c>
      <c r="E29" s="6">
        <v>10460964.333333001</v>
      </c>
      <c r="F29" s="5">
        <v>560.45666700000004</v>
      </c>
      <c r="G29" s="5" t="s">
        <v>17</v>
      </c>
      <c r="H29" s="5" t="s">
        <v>17</v>
      </c>
      <c r="I29" s="5">
        <v>4900</v>
      </c>
      <c r="J29" s="5">
        <v>276</v>
      </c>
      <c r="K29" s="6">
        <v>11619</v>
      </c>
      <c r="L29" s="6">
        <v>2695.3473469999999</v>
      </c>
      <c r="M29" s="6">
        <v>3079.6087550000002</v>
      </c>
      <c r="N29" s="5">
        <v>28.573884</v>
      </c>
      <c r="P29" s="5" t="s">
        <v>55</v>
      </c>
      <c r="Q29" s="5">
        <v>3</v>
      </c>
      <c r="R29" s="5">
        <f t="shared" si="3"/>
        <v>0.63538337205173745</v>
      </c>
    </row>
    <row r="30" spans="1:18" x14ac:dyDescent="0.25">
      <c r="A30" s="5">
        <v>28</v>
      </c>
      <c r="B30" s="5" t="s">
        <v>44</v>
      </c>
      <c r="C30" s="5" t="s">
        <v>16</v>
      </c>
      <c r="D30" s="6">
        <v>11751765</v>
      </c>
      <c r="E30" s="6">
        <v>9077002</v>
      </c>
      <c r="F30" s="5">
        <v>545.87</v>
      </c>
      <c r="G30" s="5" t="s">
        <v>17</v>
      </c>
      <c r="H30" s="5" t="s">
        <v>17</v>
      </c>
      <c r="I30" s="5">
        <v>4900</v>
      </c>
      <c r="J30" s="5">
        <v>267</v>
      </c>
      <c r="K30" s="6">
        <v>10243</v>
      </c>
      <c r="L30" s="6">
        <v>2398.3193879999999</v>
      </c>
      <c r="M30" s="6">
        <v>2698.1994460000001</v>
      </c>
      <c r="N30" s="5">
        <v>28.573884</v>
      </c>
      <c r="P30" s="5" t="s">
        <v>55</v>
      </c>
      <c r="Q30" s="5">
        <v>5</v>
      </c>
      <c r="R30" s="5">
        <f t="shared" si="3"/>
        <v>0.55132356397613325</v>
      </c>
    </row>
    <row r="31" spans="1:18" x14ac:dyDescent="0.25">
      <c r="A31" s="5">
        <v>29</v>
      </c>
      <c r="B31" s="5" t="s">
        <v>45</v>
      </c>
      <c r="C31" s="5" t="s">
        <v>16</v>
      </c>
      <c r="D31" s="6">
        <v>8923957</v>
      </c>
      <c r="E31" s="6">
        <v>6513532.6666670004</v>
      </c>
      <c r="F31" s="5">
        <v>491.92333300000001</v>
      </c>
      <c r="G31" s="5" t="s">
        <v>17</v>
      </c>
      <c r="H31" s="5" t="s">
        <v>17</v>
      </c>
      <c r="I31" s="5">
        <v>4900</v>
      </c>
      <c r="J31" s="5">
        <v>281</v>
      </c>
      <c r="K31" s="6">
        <v>7292</v>
      </c>
      <c r="L31" s="6">
        <v>1821.2157139999999</v>
      </c>
      <c r="M31" s="6">
        <v>1941.969822</v>
      </c>
      <c r="N31" s="5">
        <v>28.573884</v>
      </c>
      <c r="P31" s="5" t="s">
        <v>55</v>
      </c>
      <c r="Q31" s="5">
        <v>10</v>
      </c>
      <c r="R31" s="5">
        <f t="shared" si="3"/>
        <v>0.3956222598454664</v>
      </c>
    </row>
    <row r="32" spans="1:18" x14ac:dyDescent="0.25">
      <c r="A32" s="5">
        <v>30</v>
      </c>
      <c r="B32" s="5" t="s">
        <v>46</v>
      </c>
      <c r="C32" s="5" t="s">
        <v>16</v>
      </c>
      <c r="D32" s="6">
        <v>6498385</v>
      </c>
      <c r="E32" s="6">
        <v>4193376</v>
      </c>
      <c r="F32" s="5">
        <v>470.41</v>
      </c>
      <c r="G32" s="5" t="s">
        <v>17</v>
      </c>
      <c r="H32" s="5" t="s">
        <v>17</v>
      </c>
      <c r="I32" s="5">
        <v>4900</v>
      </c>
      <c r="J32" s="5">
        <v>255</v>
      </c>
      <c r="K32" s="6">
        <v>5393</v>
      </c>
      <c r="L32" s="6">
        <v>1326.20102</v>
      </c>
      <c r="M32" s="6">
        <v>1350.448926</v>
      </c>
      <c r="N32" s="5">
        <v>28.573884</v>
      </c>
      <c r="P32" s="5" t="s">
        <v>55</v>
      </c>
      <c r="Q32" s="5">
        <v>30</v>
      </c>
      <c r="R32" s="5">
        <f t="shared" si="3"/>
        <v>0.25469940420989023</v>
      </c>
    </row>
    <row r="33" spans="1:18" x14ac:dyDescent="0.25">
      <c r="A33" s="5">
        <v>31</v>
      </c>
      <c r="B33" s="5" t="s">
        <v>47</v>
      </c>
      <c r="C33" s="5" t="s">
        <v>16</v>
      </c>
      <c r="D33" s="6">
        <v>5035179</v>
      </c>
      <c r="E33" s="6">
        <v>2904610</v>
      </c>
      <c r="F33" s="5">
        <v>434.81</v>
      </c>
      <c r="G33" s="5" t="s">
        <v>17</v>
      </c>
      <c r="H33" s="5" t="s">
        <v>17</v>
      </c>
      <c r="I33" s="5">
        <v>4900</v>
      </c>
      <c r="J33" s="5">
        <v>236</v>
      </c>
      <c r="K33" s="6">
        <v>3569</v>
      </c>
      <c r="L33" s="6">
        <v>1027.5875510000001</v>
      </c>
      <c r="M33" s="5">
        <v>880.38406599999996</v>
      </c>
      <c r="N33" s="5">
        <v>28.573884</v>
      </c>
      <c r="P33" s="5" t="s">
        <v>55</v>
      </c>
      <c r="Q33" s="5">
        <v>60</v>
      </c>
      <c r="R33" s="5">
        <f t="shared" si="3"/>
        <v>0.17642167944445936</v>
      </c>
    </row>
    <row r="34" spans="1:18" x14ac:dyDescent="0.25">
      <c r="A34" s="5">
        <v>32</v>
      </c>
      <c r="B34" s="5" t="s">
        <v>48</v>
      </c>
      <c r="C34" s="5" t="s">
        <v>16</v>
      </c>
      <c r="D34" s="6">
        <v>4952432</v>
      </c>
      <c r="E34" s="6">
        <v>2755566</v>
      </c>
      <c r="F34" s="5">
        <v>448.34</v>
      </c>
      <c r="G34" s="5" t="s">
        <v>17</v>
      </c>
      <c r="H34" s="5" t="s">
        <v>17</v>
      </c>
      <c r="I34" s="5">
        <v>4900</v>
      </c>
      <c r="J34" s="5">
        <v>235</v>
      </c>
      <c r="K34" s="6">
        <v>4283</v>
      </c>
      <c r="L34" s="6">
        <v>1010.700408</v>
      </c>
      <c r="M34" s="5">
        <v>999.150217</v>
      </c>
      <c r="N34" s="5">
        <v>28.573884</v>
      </c>
      <c r="P34" s="5" t="s">
        <v>55</v>
      </c>
      <c r="Q34" s="5">
        <v>120</v>
      </c>
      <c r="R34" s="5">
        <f t="shared" si="3"/>
        <v>0.1673689691697168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workbookViewId="0">
      <selection activeCell="R1" sqref="R1:R1048576"/>
    </sheetView>
  </sheetViews>
  <sheetFormatPr defaultRowHeight="15" x14ac:dyDescent="0.25"/>
  <cols>
    <col min="4" max="4" width="13.5703125" customWidth="1"/>
    <col min="5" max="5" width="17.140625" customWidth="1"/>
    <col min="16" max="16" width="11.7109375" style="3" customWidth="1"/>
    <col min="17" max="17" width="9.140625" style="3"/>
    <col min="18" max="18" width="11.85546875" style="3" customWidth="1"/>
  </cols>
  <sheetData>
    <row r="1" spans="1:18" x14ac:dyDescent="0.25">
      <c r="A1" s="2" t="s">
        <v>56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8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P2" s="2" t="s">
        <v>49</v>
      </c>
      <c r="Q2" s="2" t="s">
        <v>50</v>
      </c>
      <c r="R2" s="2" t="s">
        <v>51</v>
      </c>
    </row>
    <row r="3" spans="1:18" x14ac:dyDescent="0.25">
      <c r="A3" s="3">
        <v>1</v>
      </c>
      <c r="B3" s="3" t="s">
        <v>15</v>
      </c>
      <c r="C3" s="3" t="s">
        <v>16</v>
      </c>
      <c r="D3" s="4">
        <v>4810496</v>
      </c>
      <c r="E3" s="4">
        <v>2970144.3255810002</v>
      </c>
      <c r="F3" s="3">
        <v>593.27907000000005</v>
      </c>
      <c r="G3" s="3" t="s">
        <v>17</v>
      </c>
      <c r="H3" s="3" t="s">
        <v>17</v>
      </c>
      <c r="I3" s="3">
        <v>3102</v>
      </c>
      <c r="J3" s="3">
        <v>349</v>
      </c>
      <c r="K3" s="4">
        <v>4785</v>
      </c>
      <c r="L3" s="4">
        <v>1550.7724049999999</v>
      </c>
      <c r="M3" s="4">
        <v>1162.3418569999999</v>
      </c>
      <c r="N3" s="3">
        <v>18.089017999999999</v>
      </c>
      <c r="P3" s="3" t="s">
        <v>52</v>
      </c>
      <c r="Q3" s="3">
        <v>0</v>
      </c>
      <c r="R3" s="3">
        <f>E3/2970144.325581</f>
        <v>1</v>
      </c>
    </row>
    <row r="4" spans="1:18" x14ac:dyDescent="0.25">
      <c r="A4" s="3">
        <v>2</v>
      </c>
      <c r="B4" s="3" t="s">
        <v>18</v>
      </c>
      <c r="C4" s="3" t="s">
        <v>16</v>
      </c>
      <c r="D4" s="4">
        <v>3950331</v>
      </c>
      <c r="E4" s="4">
        <v>2403010.116279</v>
      </c>
      <c r="F4" s="3">
        <v>498.81395300000003</v>
      </c>
      <c r="G4" s="3" t="s">
        <v>17</v>
      </c>
      <c r="H4" s="3" t="s">
        <v>17</v>
      </c>
      <c r="I4" s="3">
        <v>3102</v>
      </c>
      <c r="J4" s="3">
        <v>346</v>
      </c>
      <c r="K4" s="4">
        <v>4236</v>
      </c>
      <c r="L4" s="4">
        <v>1273.4787229999999</v>
      </c>
      <c r="M4" s="3">
        <v>966.85827600000005</v>
      </c>
      <c r="N4" s="3">
        <v>18.089017999999999</v>
      </c>
      <c r="P4" s="3" t="s">
        <v>52</v>
      </c>
      <c r="Q4" s="3">
        <v>1</v>
      </c>
      <c r="R4" s="3">
        <f t="shared" ref="R4:R10" si="0">E4/2970144.325581</f>
        <v>0.80905499964515659</v>
      </c>
    </row>
    <row r="5" spans="1:18" x14ac:dyDescent="0.25">
      <c r="A5" s="3">
        <v>3</v>
      </c>
      <c r="B5" s="3" t="s">
        <v>19</v>
      </c>
      <c r="C5" s="3" t="s">
        <v>16</v>
      </c>
      <c r="D5" s="4">
        <v>3121971</v>
      </c>
      <c r="E5" s="4">
        <v>1615793.6976739999</v>
      </c>
      <c r="F5" s="3">
        <v>485.550388</v>
      </c>
      <c r="G5" s="3" t="s">
        <v>17</v>
      </c>
      <c r="H5" s="3" t="s">
        <v>17</v>
      </c>
      <c r="I5" s="3">
        <v>3102</v>
      </c>
      <c r="J5" s="3">
        <v>330</v>
      </c>
      <c r="K5" s="4">
        <v>3216</v>
      </c>
      <c r="L5" s="4">
        <v>1006.438104</v>
      </c>
      <c r="M5" s="3">
        <v>696.56882700000006</v>
      </c>
      <c r="N5" s="3">
        <v>18.089017999999999</v>
      </c>
      <c r="P5" s="3" t="s">
        <v>52</v>
      </c>
      <c r="Q5" s="3">
        <v>3</v>
      </c>
      <c r="R5" s="3">
        <f t="shared" si="0"/>
        <v>0.54401184607684983</v>
      </c>
    </row>
    <row r="6" spans="1:18" x14ac:dyDescent="0.25">
      <c r="A6" s="3">
        <v>4</v>
      </c>
      <c r="B6" s="3" t="s">
        <v>20</v>
      </c>
      <c r="C6" s="3" t="s">
        <v>16</v>
      </c>
      <c r="D6" s="4">
        <v>2538551</v>
      </c>
      <c r="E6" s="4">
        <v>1073240.744186</v>
      </c>
      <c r="F6" s="3">
        <v>472.375969</v>
      </c>
      <c r="G6" s="3" t="s">
        <v>17</v>
      </c>
      <c r="H6" s="3" t="s">
        <v>17</v>
      </c>
      <c r="I6" s="3">
        <v>3102</v>
      </c>
      <c r="J6" s="3">
        <v>323</v>
      </c>
      <c r="K6" s="4">
        <v>2383</v>
      </c>
      <c r="L6" s="3">
        <v>818.35944600000005</v>
      </c>
      <c r="M6" s="3">
        <v>491.640466</v>
      </c>
      <c r="N6" s="3">
        <v>18.089017999999999</v>
      </c>
      <c r="P6" s="3" t="s">
        <v>52</v>
      </c>
      <c r="Q6" s="3">
        <v>5</v>
      </c>
      <c r="R6" s="3">
        <f t="shared" si="0"/>
        <v>0.36134296065766419</v>
      </c>
    </row>
    <row r="7" spans="1:18" x14ac:dyDescent="0.25">
      <c r="A7" s="3">
        <v>5</v>
      </c>
      <c r="B7" s="3" t="s">
        <v>21</v>
      </c>
      <c r="C7" s="3" t="s">
        <v>16</v>
      </c>
      <c r="D7" s="4">
        <v>2043611</v>
      </c>
      <c r="E7" s="4">
        <v>616823.25581400003</v>
      </c>
      <c r="F7" s="3">
        <v>459.95736399999998</v>
      </c>
      <c r="G7" s="3" t="s">
        <v>17</v>
      </c>
      <c r="H7" s="3" t="s">
        <v>17</v>
      </c>
      <c r="I7" s="3">
        <v>3102</v>
      </c>
      <c r="J7" s="3">
        <v>335</v>
      </c>
      <c r="K7" s="4">
        <v>1575</v>
      </c>
      <c r="L7" s="3">
        <v>658.80431999999996</v>
      </c>
      <c r="M7" s="3">
        <v>296.33274499999999</v>
      </c>
      <c r="N7" s="3">
        <v>18.089017999999999</v>
      </c>
      <c r="P7" s="3" t="s">
        <v>52</v>
      </c>
      <c r="Q7" s="3">
        <v>10</v>
      </c>
      <c r="R7" s="3">
        <f t="shared" si="0"/>
        <v>0.20767450608425941</v>
      </c>
    </row>
    <row r="8" spans="1:18" x14ac:dyDescent="0.25">
      <c r="A8" s="3">
        <v>6</v>
      </c>
      <c r="B8" s="3" t="s">
        <v>22</v>
      </c>
      <c r="C8" s="3" t="s">
        <v>16</v>
      </c>
      <c r="D8" s="4">
        <v>1541135</v>
      </c>
      <c r="E8" s="4">
        <v>202513.790698</v>
      </c>
      <c r="F8" s="3">
        <v>431.53488399999998</v>
      </c>
      <c r="G8" s="3" t="s">
        <v>17</v>
      </c>
      <c r="H8" s="3" t="s">
        <v>17</v>
      </c>
      <c r="I8" s="3">
        <v>3102</v>
      </c>
      <c r="J8" s="3">
        <v>315</v>
      </c>
      <c r="K8" s="3">
        <v>828</v>
      </c>
      <c r="L8" s="3">
        <v>496.819794</v>
      </c>
      <c r="M8" s="3">
        <v>112.611999</v>
      </c>
      <c r="N8" s="3">
        <v>18.089017999999999</v>
      </c>
      <c r="P8" s="3" t="s">
        <v>52</v>
      </c>
      <c r="Q8" s="3">
        <v>30</v>
      </c>
      <c r="R8" s="3">
        <f t="shared" si="0"/>
        <v>6.8183148190411783E-2</v>
      </c>
    </row>
    <row r="9" spans="1:18" x14ac:dyDescent="0.25">
      <c r="A9" s="3">
        <v>7</v>
      </c>
      <c r="B9" s="3" t="s">
        <v>23</v>
      </c>
      <c r="C9" s="3" t="s">
        <v>16</v>
      </c>
      <c r="D9" s="4">
        <v>1458409</v>
      </c>
      <c r="E9" s="4">
        <v>159332.27906999999</v>
      </c>
      <c r="F9" s="3">
        <v>418.78682199999997</v>
      </c>
      <c r="G9" s="3" t="s">
        <v>17</v>
      </c>
      <c r="H9" s="3" t="s">
        <v>17</v>
      </c>
      <c r="I9" s="3">
        <v>3102</v>
      </c>
      <c r="J9" s="3">
        <v>325</v>
      </c>
      <c r="K9" s="3">
        <v>743</v>
      </c>
      <c r="L9" s="3">
        <v>470.15119299999998</v>
      </c>
      <c r="M9" s="3">
        <v>81.696329000000006</v>
      </c>
      <c r="N9" s="3">
        <v>18.089017999999999</v>
      </c>
      <c r="P9" s="3" t="s">
        <v>52</v>
      </c>
      <c r="Q9" s="3">
        <v>60</v>
      </c>
      <c r="R9" s="3">
        <f t="shared" si="0"/>
        <v>5.3644625177880018E-2</v>
      </c>
    </row>
    <row r="10" spans="1:18" x14ac:dyDescent="0.25">
      <c r="A10" s="3">
        <v>8</v>
      </c>
      <c r="B10" s="3" t="s">
        <v>24</v>
      </c>
      <c r="C10" s="3" t="s">
        <v>16</v>
      </c>
      <c r="D10" s="4">
        <v>1455172</v>
      </c>
      <c r="E10" s="4">
        <v>156876.790698</v>
      </c>
      <c r="F10" s="3">
        <v>418.53488399999998</v>
      </c>
      <c r="G10" s="3" t="s">
        <v>17</v>
      </c>
      <c r="H10" s="3" t="s">
        <v>17</v>
      </c>
      <c r="I10" s="3">
        <v>3102</v>
      </c>
      <c r="J10" s="3">
        <v>315</v>
      </c>
      <c r="K10" s="3">
        <v>682</v>
      </c>
      <c r="L10" s="3">
        <v>469.10767199999998</v>
      </c>
      <c r="M10" s="3">
        <v>86.626558000000003</v>
      </c>
      <c r="N10" s="3">
        <v>18.089017999999999</v>
      </c>
      <c r="P10" s="3" t="s">
        <v>52</v>
      </c>
      <c r="Q10" s="3">
        <v>120</v>
      </c>
      <c r="R10" s="3">
        <f t="shared" si="0"/>
        <v>5.2817901590459848E-2</v>
      </c>
    </row>
    <row r="11" spans="1:18" x14ac:dyDescent="0.25">
      <c r="A11" s="3">
        <v>9</v>
      </c>
      <c r="B11" s="3" t="s">
        <v>25</v>
      </c>
      <c r="C11" s="3" t="s">
        <v>16</v>
      </c>
      <c r="D11" s="4">
        <v>13539650</v>
      </c>
      <c r="E11" s="4">
        <v>11122458.581395</v>
      </c>
      <c r="F11" s="3">
        <v>779.23643400000003</v>
      </c>
      <c r="G11" s="3" t="s">
        <v>17</v>
      </c>
      <c r="H11" s="3" t="s">
        <v>17</v>
      </c>
      <c r="I11" s="3">
        <v>3102</v>
      </c>
      <c r="J11" s="3">
        <v>339</v>
      </c>
      <c r="K11" s="4">
        <v>14226</v>
      </c>
      <c r="L11" s="4">
        <v>4364.813024</v>
      </c>
      <c r="M11" s="4">
        <v>3996.0333409999998</v>
      </c>
      <c r="N11" s="3">
        <v>18.089017999999999</v>
      </c>
      <c r="P11" s="3" t="s">
        <v>53</v>
      </c>
      <c r="Q11" s="3">
        <v>0</v>
      </c>
      <c r="R11" s="3">
        <f>E11/11122458.581395</f>
        <v>1</v>
      </c>
    </row>
    <row r="12" spans="1:18" x14ac:dyDescent="0.25">
      <c r="A12" s="3">
        <v>10</v>
      </c>
      <c r="B12" s="3" t="s">
        <v>26</v>
      </c>
      <c r="C12" s="3" t="s">
        <v>16</v>
      </c>
      <c r="D12" s="4">
        <v>10150633</v>
      </c>
      <c r="E12" s="4">
        <v>8229064.2325579999</v>
      </c>
      <c r="F12" s="3">
        <v>619.46123999999998</v>
      </c>
      <c r="G12" s="3" t="s">
        <v>17</v>
      </c>
      <c r="H12" s="3" t="s">
        <v>17</v>
      </c>
      <c r="I12" s="3">
        <v>3102</v>
      </c>
      <c r="J12" s="3">
        <v>281</v>
      </c>
      <c r="K12" s="4">
        <v>10858</v>
      </c>
      <c r="L12" s="4">
        <v>3272.2865889999998</v>
      </c>
      <c r="M12" s="4">
        <v>2947.441264</v>
      </c>
      <c r="N12" s="3">
        <v>18.089017999999999</v>
      </c>
      <c r="P12" s="3" t="s">
        <v>53</v>
      </c>
      <c r="Q12" s="3">
        <v>1</v>
      </c>
      <c r="R12" s="3">
        <f t="shared" ref="R12:R18" si="1">E12/11122458.581395</f>
        <v>0.73986018220136129</v>
      </c>
    </row>
    <row r="13" spans="1:18" x14ac:dyDescent="0.25">
      <c r="A13" s="3">
        <v>11</v>
      </c>
      <c r="B13" s="3" t="s">
        <v>27</v>
      </c>
      <c r="C13" s="3" t="s">
        <v>16</v>
      </c>
      <c r="D13" s="4">
        <v>6648251</v>
      </c>
      <c r="E13" s="4">
        <v>4961171.7906980002</v>
      </c>
      <c r="F13" s="3">
        <v>543.86821699999996</v>
      </c>
      <c r="G13" s="3" t="s">
        <v>17</v>
      </c>
      <c r="H13" s="3" t="s">
        <v>17</v>
      </c>
      <c r="I13" s="3">
        <v>3102</v>
      </c>
      <c r="J13" s="3">
        <v>298</v>
      </c>
      <c r="K13" s="4">
        <v>6688</v>
      </c>
      <c r="L13" s="4">
        <v>2143.2143780000001</v>
      </c>
      <c r="M13" s="4">
        <v>1789.3274249999999</v>
      </c>
      <c r="N13" s="3">
        <v>18.089017999999999</v>
      </c>
      <c r="P13" s="3" t="s">
        <v>53</v>
      </c>
      <c r="Q13" s="3">
        <v>3</v>
      </c>
      <c r="R13" s="3">
        <f t="shared" si="1"/>
        <v>0.44604992272093141</v>
      </c>
    </row>
    <row r="14" spans="1:18" x14ac:dyDescent="0.25">
      <c r="A14" s="3">
        <v>12</v>
      </c>
      <c r="B14" s="3" t="s">
        <v>28</v>
      </c>
      <c r="C14" s="3" t="s">
        <v>16</v>
      </c>
      <c r="D14" s="4">
        <v>4777430</v>
      </c>
      <c r="E14" s="4">
        <v>3153977.8604649999</v>
      </c>
      <c r="F14" s="3">
        <v>523.35658899999999</v>
      </c>
      <c r="G14" s="3" t="s">
        <v>17</v>
      </c>
      <c r="H14" s="3" t="s">
        <v>17</v>
      </c>
      <c r="I14" s="3">
        <v>3102</v>
      </c>
      <c r="J14" s="3">
        <v>289</v>
      </c>
      <c r="K14" s="4">
        <v>4367</v>
      </c>
      <c r="L14" s="4">
        <v>1540.11283</v>
      </c>
      <c r="M14" s="4">
        <v>1133.0242639999999</v>
      </c>
      <c r="N14" s="3">
        <v>18.089017999999999</v>
      </c>
      <c r="P14" s="3" t="s">
        <v>53</v>
      </c>
      <c r="Q14" s="3">
        <v>5</v>
      </c>
      <c r="R14" s="3">
        <f t="shared" si="1"/>
        <v>0.28356840687550772</v>
      </c>
    </row>
    <row r="15" spans="1:18" x14ac:dyDescent="0.25">
      <c r="A15" s="3">
        <v>13</v>
      </c>
      <c r="B15" s="3" t="s">
        <v>29</v>
      </c>
      <c r="C15" s="3" t="s">
        <v>16</v>
      </c>
      <c r="D15" s="4">
        <v>3181443</v>
      </c>
      <c r="E15" s="4">
        <v>1819208.116279</v>
      </c>
      <c r="F15" s="3">
        <v>439.14728700000001</v>
      </c>
      <c r="G15" s="3" t="s">
        <v>17</v>
      </c>
      <c r="H15" s="3" t="s">
        <v>17</v>
      </c>
      <c r="I15" s="3">
        <v>3102</v>
      </c>
      <c r="J15" s="3">
        <v>273</v>
      </c>
      <c r="K15" s="4">
        <v>2922</v>
      </c>
      <c r="L15" s="4">
        <v>1025.6102510000001</v>
      </c>
      <c r="M15" s="3">
        <v>735.97016599999995</v>
      </c>
      <c r="N15" s="3">
        <v>18.089017999999999</v>
      </c>
      <c r="P15" s="3" t="s">
        <v>53</v>
      </c>
      <c r="Q15" s="3">
        <v>10</v>
      </c>
      <c r="R15" s="3">
        <f t="shared" si="1"/>
        <v>0.1635616894381666</v>
      </c>
    </row>
    <row r="16" spans="1:18" x14ac:dyDescent="0.25">
      <c r="A16" s="3">
        <v>14</v>
      </c>
      <c r="B16" s="3" t="s">
        <v>30</v>
      </c>
      <c r="C16" s="3" t="s">
        <v>16</v>
      </c>
      <c r="D16" s="4">
        <v>1605089</v>
      </c>
      <c r="E16" s="4">
        <v>449882.55813999998</v>
      </c>
      <c r="F16" s="3">
        <v>372.40697699999998</v>
      </c>
      <c r="G16" s="3" t="s">
        <v>17</v>
      </c>
      <c r="H16" s="3" t="s">
        <v>17</v>
      </c>
      <c r="I16" s="3">
        <v>3102</v>
      </c>
      <c r="J16" s="3">
        <v>275</v>
      </c>
      <c r="K16" s="3">
        <v>942</v>
      </c>
      <c r="L16" s="3">
        <v>517.43681500000002</v>
      </c>
      <c r="M16" s="3">
        <v>171.76279600000001</v>
      </c>
      <c r="N16" s="3">
        <v>18.089017999999999</v>
      </c>
      <c r="P16" s="3" t="s">
        <v>53</v>
      </c>
      <c r="Q16" s="3">
        <v>30</v>
      </c>
      <c r="R16" s="3">
        <f t="shared" si="1"/>
        <v>4.0448121685302318E-2</v>
      </c>
    </row>
    <row r="17" spans="1:18" x14ac:dyDescent="0.25">
      <c r="A17" s="3">
        <v>15</v>
      </c>
      <c r="B17" s="3" t="s">
        <v>31</v>
      </c>
      <c r="C17" s="3" t="s">
        <v>16</v>
      </c>
      <c r="D17" s="4">
        <v>1369960</v>
      </c>
      <c r="E17" s="4">
        <v>261079.16279100001</v>
      </c>
      <c r="F17" s="3">
        <v>357.47286800000001</v>
      </c>
      <c r="G17" s="3" t="s">
        <v>17</v>
      </c>
      <c r="H17" s="3" t="s">
        <v>17</v>
      </c>
      <c r="I17" s="3">
        <v>3102</v>
      </c>
      <c r="J17" s="3">
        <v>267</v>
      </c>
      <c r="K17" s="3">
        <v>706</v>
      </c>
      <c r="L17" s="3">
        <v>441.637653</v>
      </c>
      <c r="M17" s="3">
        <v>102.43353399999999</v>
      </c>
      <c r="N17" s="3">
        <v>18.089017999999999</v>
      </c>
      <c r="P17" s="3" t="s">
        <v>53</v>
      </c>
      <c r="Q17" s="3">
        <v>60</v>
      </c>
      <c r="R17" s="3">
        <f t="shared" si="1"/>
        <v>2.3473152170484859E-2</v>
      </c>
    </row>
    <row r="18" spans="1:18" x14ac:dyDescent="0.25">
      <c r="A18" s="3">
        <v>16</v>
      </c>
      <c r="B18" s="3" t="s">
        <v>32</v>
      </c>
      <c r="C18" s="3" t="s">
        <v>16</v>
      </c>
      <c r="D18" s="4">
        <v>1299265</v>
      </c>
      <c r="E18" s="4">
        <v>230854.44185999999</v>
      </c>
      <c r="F18" s="3">
        <v>344.426357</v>
      </c>
      <c r="G18" s="3" t="s">
        <v>17</v>
      </c>
      <c r="H18" s="3" t="s">
        <v>17</v>
      </c>
      <c r="I18" s="3">
        <v>3102</v>
      </c>
      <c r="J18" s="3">
        <v>259</v>
      </c>
      <c r="K18" s="3">
        <v>631</v>
      </c>
      <c r="L18" s="3">
        <v>418.84751799999998</v>
      </c>
      <c r="M18" s="3">
        <v>88.320749000000006</v>
      </c>
      <c r="N18" s="3">
        <v>18.089017999999999</v>
      </c>
      <c r="P18" s="3" t="s">
        <v>53</v>
      </c>
      <c r="Q18" s="3">
        <v>120</v>
      </c>
      <c r="R18" s="3">
        <f t="shared" si="1"/>
        <v>2.0755702542795695E-2</v>
      </c>
    </row>
    <row r="19" spans="1:18" x14ac:dyDescent="0.25">
      <c r="A19" s="3">
        <v>17</v>
      </c>
      <c r="B19" s="3" t="s">
        <v>33</v>
      </c>
      <c r="C19" s="3" t="s">
        <v>16</v>
      </c>
      <c r="D19" s="4">
        <v>11312139</v>
      </c>
      <c r="E19" s="4">
        <v>9113566.4418599997</v>
      </c>
      <c r="F19" s="3">
        <v>708.75968999999998</v>
      </c>
      <c r="G19" s="3" t="s">
        <v>17</v>
      </c>
      <c r="H19" s="3" t="s">
        <v>17</v>
      </c>
      <c r="I19" s="3">
        <v>3102</v>
      </c>
      <c r="J19" s="3">
        <v>276</v>
      </c>
      <c r="K19" s="4">
        <v>10484</v>
      </c>
      <c r="L19" s="4">
        <v>3646.7243709999998</v>
      </c>
      <c r="M19" s="4">
        <v>2940.0958690000002</v>
      </c>
      <c r="N19" s="3">
        <v>18.089017999999999</v>
      </c>
      <c r="P19" s="3" t="s">
        <v>54</v>
      </c>
      <c r="Q19" s="3">
        <v>0</v>
      </c>
      <c r="R19" s="3">
        <f>E19/9113566.44186</f>
        <v>1</v>
      </c>
    </row>
    <row r="20" spans="1:18" x14ac:dyDescent="0.25">
      <c r="A20" s="3">
        <v>18</v>
      </c>
      <c r="B20" s="3" t="s">
        <v>34</v>
      </c>
      <c r="C20" s="3" t="s">
        <v>16</v>
      </c>
      <c r="D20" s="4">
        <v>7130628</v>
      </c>
      <c r="E20" s="4">
        <v>5391391.9069769997</v>
      </c>
      <c r="F20" s="3">
        <v>560.68217100000004</v>
      </c>
      <c r="G20" s="3" t="s">
        <v>17</v>
      </c>
      <c r="H20" s="3" t="s">
        <v>17</v>
      </c>
      <c r="I20" s="3">
        <v>3102</v>
      </c>
      <c r="J20" s="3">
        <v>275</v>
      </c>
      <c r="K20" s="4">
        <v>7037</v>
      </c>
      <c r="L20" s="4">
        <v>2298.7195360000001</v>
      </c>
      <c r="M20" s="4">
        <v>1898.8424640000001</v>
      </c>
      <c r="N20" s="3">
        <v>18.089017999999999</v>
      </c>
      <c r="P20" s="3" t="s">
        <v>54</v>
      </c>
      <c r="Q20" s="3">
        <v>1</v>
      </c>
      <c r="R20" s="3">
        <f t="shared" ref="R20:R26" si="2">E20/9113566.44186</f>
        <v>0.5915787130506357</v>
      </c>
    </row>
    <row r="21" spans="1:18" x14ac:dyDescent="0.25">
      <c r="A21" s="3">
        <v>19</v>
      </c>
      <c r="B21" s="3" t="s">
        <v>35</v>
      </c>
      <c r="C21" s="3" t="s">
        <v>16</v>
      </c>
      <c r="D21" s="4">
        <v>3366740</v>
      </c>
      <c r="E21" s="4">
        <v>1965405.4883719999</v>
      </c>
      <c r="F21" s="3">
        <v>451.751938</v>
      </c>
      <c r="G21" s="3" t="s">
        <v>17</v>
      </c>
      <c r="H21" s="3" t="s">
        <v>17</v>
      </c>
      <c r="I21" s="3">
        <v>3102</v>
      </c>
      <c r="J21" s="3">
        <v>257</v>
      </c>
      <c r="K21" s="4">
        <v>2735</v>
      </c>
      <c r="L21" s="4">
        <v>1085.3449390000001</v>
      </c>
      <c r="M21" s="3">
        <v>699.38899800000002</v>
      </c>
      <c r="N21" s="3">
        <v>18.089017999999999</v>
      </c>
      <c r="P21" s="3" t="s">
        <v>54</v>
      </c>
      <c r="Q21" s="3">
        <v>3</v>
      </c>
      <c r="R21" s="3">
        <f t="shared" si="2"/>
        <v>0.21565711962603279</v>
      </c>
    </row>
    <row r="22" spans="1:18" x14ac:dyDescent="0.25">
      <c r="A22" s="3">
        <v>20</v>
      </c>
      <c r="B22" s="3" t="s">
        <v>36</v>
      </c>
      <c r="C22" s="3" t="s">
        <v>16</v>
      </c>
      <c r="D22" s="4">
        <v>2100202</v>
      </c>
      <c r="E22" s="4">
        <v>893391.74418599997</v>
      </c>
      <c r="F22" s="3">
        <v>389.04263600000002</v>
      </c>
      <c r="G22" s="3" t="s">
        <v>17</v>
      </c>
      <c r="H22" s="3" t="s">
        <v>17</v>
      </c>
      <c r="I22" s="3">
        <v>3102</v>
      </c>
      <c r="J22" s="3">
        <v>265</v>
      </c>
      <c r="K22" s="4">
        <v>1741</v>
      </c>
      <c r="L22" s="3">
        <v>677.04771100000005</v>
      </c>
      <c r="M22" s="3">
        <v>383.511684</v>
      </c>
      <c r="N22" s="3">
        <v>18.089017999999999</v>
      </c>
      <c r="P22" s="3" t="s">
        <v>54</v>
      </c>
      <c r="Q22" s="3">
        <v>5</v>
      </c>
      <c r="R22" s="3">
        <f t="shared" si="2"/>
        <v>9.8028773903761274E-2</v>
      </c>
    </row>
    <row r="23" spans="1:18" x14ac:dyDescent="0.25">
      <c r="A23" s="3">
        <v>21</v>
      </c>
      <c r="B23" s="3" t="s">
        <v>37</v>
      </c>
      <c r="C23" s="3" t="s">
        <v>16</v>
      </c>
      <c r="D23" s="4">
        <v>1407523</v>
      </c>
      <c r="E23" s="4">
        <v>244970.348837</v>
      </c>
      <c r="F23" s="3">
        <v>374.775194</v>
      </c>
      <c r="G23" s="3" t="s">
        <v>17</v>
      </c>
      <c r="H23" s="3" t="s">
        <v>17</v>
      </c>
      <c r="I23" s="3">
        <v>3102</v>
      </c>
      <c r="J23" s="3">
        <v>267</v>
      </c>
      <c r="K23" s="3">
        <v>747</v>
      </c>
      <c r="L23" s="3">
        <v>453.746937</v>
      </c>
      <c r="M23" s="3">
        <v>115.82973800000001</v>
      </c>
      <c r="N23" s="3">
        <v>18.089017999999999</v>
      </c>
      <c r="P23" s="3" t="s">
        <v>54</v>
      </c>
      <c r="Q23" s="3">
        <v>10</v>
      </c>
      <c r="R23" s="3">
        <f t="shared" si="2"/>
        <v>2.6879745750446701E-2</v>
      </c>
    </row>
    <row r="24" spans="1:18" x14ac:dyDescent="0.25">
      <c r="A24" s="3">
        <v>22</v>
      </c>
      <c r="B24" s="3" t="s">
        <v>38</v>
      </c>
      <c r="C24" s="3" t="s">
        <v>16</v>
      </c>
      <c r="D24" s="4">
        <v>1166184</v>
      </c>
      <c r="E24" s="4">
        <v>77466.162790999995</v>
      </c>
      <c r="F24" s="3">
        <v>350.97286800000001</v>
      </c>
      <c r="G24" s="3" t="s">
        <v>17</v>
      </c>
      <c r="H24" s="3" t="s">
        <v>17</v>
      </c>
      <c r="I24" s="3">
        <v>3102</v>
      </c>
      <c r="J24" s="3">
        <v>279</v>
      </c>
      <c r="K24" s="3">
        <v>602</v>
      </c>
      <c r="L24" s="3">
        <v>375.94584099999997</v>
      </c>
      <c r="M24" s="3">
        <v>38.905408999999999</v>
      </c>
      <c r="N24" s="3">
        <v>18.089017999999999</v>
      </c>
      <c r="P24" s="3" t="s">
        <v>54</v>
      </c>
      <c r="Q24" s="3">
        <v>30</v>
      </c>
      <c r="R24" s="3">
        <f t="shared" si="2"/>
        <v>8.5000930519567083E-3</v>
      </c>
    </row>
    <row r="25" spans="1:18" x14ac:dyDescent="0.25">
      <c r="A25" s="3">
        <v>23</v>
      </c>
      <c r="B25" s="3" t="s">
        <v>39</v>
      </c>
      <c r="C25" s="3" t="s">
        <v>16</v>
      </c>
      <c r="D25" s="4">
        <v>1159116</v>
      </c>
      <c r="E25" s="4">
        <v>70362.093022999994</v>
      </c>
      <c r="F25" s="3">
        <v>350.98449599999998</v>
      </c>
      <c r="G25" s="3" t="s">
        <v>17</v>
      </c>
      <c r="H25" s="3" t="s">
        <v>17</v>
      </c>
      <c r="I25" s="3">
        <v>3102</v>
      </c>
      <c r="J25" s="3">
        <v>288</v>
      </c>
      <c r="K25" s="3">
        <v>463</v>
      </c>
      <c r="L25" s="3">
        <v>373.66731099999998</v>
      </c>
      <c r="M25" s="3">
        <v>32.681693000000003</v>
      </c>
      <c r="N25" s="3">
        <v>18.089017999999999</v>
      </c>
      <c r="P25" s="3" t="s">
        <v>54</v>
      </c>
      <c r="Q25" s="3">
        <v>60</v>
      </c>
      <c r="R25" s="3">
        <f t="shared" si="2"/>
        <v>7.7205881442654741E-3</v>
      </c>
    </row>
    <row r="26" spans="1:18" x14ac:dyDescent="0.25">
      <c r="A26" s="3">
        <v>24</v>
      </c>
      <c r="B26" s="3" t="s">
        <v>40</v>
      </c>
      <c r="C26" s="3" t="s">
        <v>16</v>
      </c>
      <c r="D26" s="4">
        <v>1224206</v>
      </c>
      <c r="E26" s="4">
        <v>45349.813952999997</v>
      </c>
      <c r="F26" s="3">
        <v>380.03100799999999</v>
      </c>
      <c r="G26" s="3" t="s">
        <v>17</v>
      </c>
      <c r="H26" s="3" t="s">
        <v>17</v>
      </c>
      <c r="I26" s="3">
        <v>3102</v>
      </c>
      <c r="J26" s="3">
        <v>266</v>
      </c>
      <c r="K26" s="3">
        <v>505</v>
      </c>
      <c r="L26" s="3">
        <v>394.65054800000001</v>
      </c>
      <c r="M26" s="3">
        <v>42.970680999999999</v>
      </c>
      <c r="N26" s="3">
        <v>18.089017999999999</v>
      </c>
      <c r="P26" s="3" t="s">
        <v>54</v>
      </c>
      <c r="Q26" s="3">
        <v>120</v>
      </c>
      <c r="R26" s="3">
        <f t="shared" si="2"/>
        <v>4.976077613776028E-3</v>
      </c>
    </row>
    <row r="27" spans="1:18" x14ac:dyDescent="0.25">
      <c r="A27" s="3">
        <v>25</v>
      </c>
      <c r="B27" s="3" t="s">
        <v>41</v>
      </c>
      <c r="C27" s="3" t="s">
        <v>16</v>
      </c>
      <c r="D27" s="4">
        <v>17218529</v>
      </c>
      <c r="E27" s="4">
        <v>13654675.086957</v>
      </c>
      <c r="F27" s="3">
        <v>928.08695699999998</v>
      </c>
      <c r="G27" s="3" t="s">
        <v>17</v>
      </c>
      <c r="H27" s="3" t="s">
        <v>17</v>
      </c>
      <c r="I27" s="3">
        <v>3840</v>
      </c>
      <c r="J27" s="3">
        <v>273</v>
      </c>
      <c r="K27" s="4">
        <v>19475</v>
      </c>
      <c r="L27" s="4">
        <v>4483.991927</v>
      </c>
      <c r="M27" s="4">
        <v>4578.1219920000003</v>
      </c>
      <c r="N27" s="3">
        <v>22.392595</v>
      </c>
      <c r="P27" s="3" t="s">
        <v>55</v>
      </c>
      <c r="Q27" s="3">
        <v>0</v>
      </c>
      <c r="R27" s="3">
        <f>E27/13654675.086957</f>
        <v>1</v>
      </c>
    </row>
    <row r="28" spans="1:18" x14ac:dyDescent="0.25">
      <c r="A28" s="3">
        <v>26</v>
      </c>
      <c r="B28" s="3" t="s">
        <v>42</v>
      </c>
      <c r="C28" s="3" t="s">
        <v>16</v>
      </c>
      <c r="D28" s="4">
        <v>14380799</v>
      </c>
      <c r="E28" s="4">
        <v>11699825.086957</v>
      </c>
      <c r="F28" s="3">
        <v>698.17029000000002</v>
      </c>
      <c r="G28" s="3" t="s">
        <v>17</v>
      </c>
      <c r="H28" s="3" t="s">
        <v>17</v>
      </c>
      <c r="I28" s="3">
        <v>3840</v>
      </c>
      <c r="J28" s="3">
        <v>279</v>
      </c>
      <c r="K28" s="4">
        <v>14985</v>
      </c>
      <c r="L28" s="4">
        <v>3744.9997400000002</v>
      </c>
      <c r="M28" s="4">
        <v>3907.3048530000001</v>
      </c>
      <c r="N28" s="3">
        <v>22.392595</v>
      </c>
      <c r="P28" s="3" t="s">
        <v>55</v>
      </c>
      <c r="Q28" s="3">
        <v>1</v>
      </c>
      <c r="R28" s="3">
        <f t="shared" ref="R28:R34" si="3">E28/13654675.086957</f>
        <v>0.85683657886028497</v>
      </c>
    </row>
    <row r="29" spans="1:18" x14ac:dyDescent="0.25">
      <c r="A29" s="3">
        <v>27</v>
      </c>
      <c r="B29" s="3" t="s">
        <v>43</v>
      </c>
      <c r="C29" s="3" t="s">
        <v>16</v>
      </c>
      <c r="D29" s="4">
        <v>12954670</v>
      </c>
      <c r="E29" s="4">
        <v>10324436.956521999</v>
      </c>
      <c r="F29" s="3">
        <v>684.95652199999995</v>
      </c>
      <c r="G29" s="3" t="s">
        <v>17</v>
      </c>
      <c r="H29" s="3" t="s">
        <v>17</v>
      </c>
      <c r="I29" s="3">
        <v>3840</v>
      </c>
      <c r="J29" s="3">
        <v>309</v>
      </c>
      <c r="K29" s="4">
        <v>13041</v>
      </c>
      <c r="L29" s="4">
        <v>3373.6119789999998</v>
      </c>
      <c r="M29" s="4">
        <v>3382.2109610000002</v>
      </c>
      <c r="N29" s="3">
        <v>22.392595</v>
      </c>
      <c r="P29" s="3" t="s">
        <v>55</v>
      </c>
      <c r="Q29" s="3">
        <v>3</v>
      </c>
      <c r="R29" s="3">
        <f t="shared" si="3"/>
        <v>0.75611004222165212</v>
      </c>
    </row>
    <row r="30" spans="1:18" x14ac:dyDescent="0.25">
      <c r="A30" s="3">
        <v>28</v>
      </c>
      <c r="B30" s="3" t="s">
        <v>44</v>
      </c>
      <c r="C30" s="3" t="s">
        <v>16</v>
      </c>
      <c r="D30" s="4">
        <v>11514585</v>
      </c>
      <c r="E30" s="4">
        <v>8965200.6521739997</v>
      </c>
      <c r="F30" s="3">
        <v>663.90217399999995</v>
      </c>
      <c r="G30" s="3" t="s">
        <v>17</v>
      </c>
      <c r="H30" s="3" t="s">
        <v>17</v>
      </c>
      <c r="I30" s="3">
        <v>3840</v>
      </c>
      <c r="J30" s="3">
        <v>299</v>
      </c>
      <c r="K30" s="4">
        <v>11327</v>
      </c>
      <c r="L30" s="4">
        <v>2998.5898440000001</v>
      </c>
      <c r="M30" s="4">
        <v>2935.4441109999998</v>
      </c>
      <c r="N30" s="3">
        <v>22.392595</v>
      </c>
      <c r="P30" s="3" t="s">
        <v>55</v>
      </c>
      <c r="Q30" s="3">
        <v>5</v>
      </c>
      <c r="R30" s="3">
        <f t="shared" si="3"/>
        <v>0.65656638441273463</v>
      </c>
    </row>
    <row r="31" spans="1:18" x14ac:dyDescent="0.25">
      <c r="A31" s="3">
        <v>29</v>
      </c>
      <c r="B31" s="3" t="s">
        <v>45</v>
      </c>
      <c r="C31" s="3" t="s">
        <v>16</v>
      </c>
      <c r="D31" s="4">
        <v>9869855</v>
      </c>
      <c r="E31" s="4">
        <v>7559065.4347829996</v>
      </c>
      <c r="F31" s="3">
        <v>601.76811599999996</v>
      </c>
      <c r="G31" s="3" t="s">
        <v>17</v>
      </c>
      <c r="H31" s="3" t="s">
        <v>17</v>
      </c>
      <c r="I31" s="3">
        <v>3840</v>
      </c>
      <c r="J31" s="3">
        <v>296</v>
      </c>
      <c r="K31" s="4">
        <v>9378</v>
      </c>
      <c r="L31" s="4">
        <v>2570.2747399999998</v>
      </c>
      <c r="M31" s="4">
        <v>2480.0814099999998</v>
      </c>
      <c r="N31" s="3">
        <v>22.392595</v>
      </c>
      <c r="P31" s="3" t="s">
        <v>55</v>
      </c>
      <c r="Q31" s="3">
        <v>10</v>
      </c>
      <c r="R31" s="3">
        <f t="shared" si="3"/>
        <v>0.55358808515359326</v>
      </c>
    </row>
    <row r="32" spans="1:18" x14ac:dyDescent="0.25">
      <c r="A32" s="3">
        <v>30</v>
      </c>
      <c r="B32" s="3" t="s">
        <v>46</v>
      </c>
      <c r="C32" s="3" t="s">
        <v>16</v>
      </c>
      <c r="D32" s="4">
        <v>6875476</v>
      </c>
      <c r="E32" s="4">
        <v>4874376.8695649998</v>
      </c>
      <c r="F32" s="3">
        <v>521.11956499999997</v>
      </c>
      <c r="G32" s="3" t="s">
        <v>17</v>
      </c>
      <c r="H32" s="3" t="s">
        <v>17</v>
      </c>
      <c r="I32" s="3">
        <v>3840</v>
      </c>
      <c r="J32" s="3">
        <v>278</v>
      </c>
      <c r="K32" s="4">
        <v>6486</v>
      </c>
      <c r="L32" s="4">
        <v>1790.4885420000001</v>
      </c>
      <c r="M32" s="4">
        <v>1645.636514</v>
      </c>
      <c r="N32" s="3">
        <v>22.392595</v>
      </c>
      <c r="P32" s="3" t="s">
        <v>55</v>
      </c>
      <c r="Q32" s="3">
        <v>30</v>
      </c>
      <c r="R32" s="3">
        <f t="shared" si="3"/>
        <v>0.35697494363824328</v>
      </c>
    </row>
    <row r="33" spans="1:18" x14ac:dyDescent="0.25">
      <c r="A33" s="3">
        <v>31</v>
      </c>
      <c r="B33" s="3" t="s">
        <v>47</v>
      </c>
      <c r="C33" s="3" t="s">
        <v>16</v>
      </c>
      <c r="D33" s="4">
        <v>6039563</v>
      </c>
      <c r="E33" s="4">
        <v>4140877.7826089999</v>
      </c>
      <c r="F33" s="3">
        <v>494.449275</v>
      </c>
      <c r="G33" s="3" t="s">
        <v>17</v>
      </c>
      <c r="H33" s="3" t="s">
        <v>17</v>
      </c>
      <c r="I33" s="3">
        <v>3840</v>
      </c>
      <c r="J33" s="3">
        <v>257</v>
      </c>
      <c r="K33" s="4">
        <v>5414</v>
      </c>
      <c r="L33" s="4">
        <v>1572.8028650000001</v>
      </c>
      <c r="M33" s="4">
        <v>1332.4748279999999</v>
      </c>
      <c r="N33" s="3">
        <v>22.392595</v>
      </c>
      <c r="P33" s="3" t="s">
        <v>55</v>
      </c>
      <c r="Q33" s="3">
        <v>60</v>
      </c>
      <c r="R33" s="3">
        <f t="shared" si="3"/>
        <v>0.30325714498797435</v>
      </c>
    </row>
    <row r="34" spans="1:18" x14ac:dyDescent="0.25">
      <c r="A34" s="3">
        <v>32</v>
      </c>
      <c r="B34" s="3" t="s">
        <v>48</v>
      </c>
      <c r="C34" s="3" t="s">
        <v>16</v>
      </c>
      <c r="D34" s="4">
        <v>5877460</v>
      </c>
      <c r="E34" s="4">
        <v>4071338.2608699999</v>
      </c>
      <c r="F34" s="3">
        <v>470.34420299999999</v>
      </c>
      <c r="G34" s="3" t="s">
        <v>17</v>
      </c>
      <c r="H34" s="3" t="s">
        <v>17</v>
      </c>
      <c r="I34" s="3">
        <v>3840</v>
      </c>
      <c r="J34" s="3">
        <v>242</v>
      </c>
      <c r="K34" s="4">
        <v>5642</v>
      </c>
      <c r="L34" s="4">
        <v>1530.588542</v>
      </c>
      <c r="M34" s="4">
        <v>1438.783518</v>
      </c>
      <c r="N34" s="3">
        <v>22.392595</v>
      </c>
      <c r="P34" s="3" t="s">
        <v>55</v>
      </c>
      <c r="Q34" s="3">
        <v>120</v>
      </c>
      <c r="R34" s="3">
        <f t="shared" si="3"/>
        <v>0.29816441877543892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workbookViewId="0">
      <selection activeCell="R1" sqref="R1:R1048576"/>
    </sheetView>
  </sheetViews>
  <sheetFormatPr defaultRowHeight="15" x14ac:dyDescent="0.25"/>
  <cols>
    <col min="4" max="4" width="13.28515625" customWidth="1"/>
    <col min="5" max="5" width="17.42578125" customWidth="1"/>
    <col min="16" max="16" width="11.7109375" customWidth="1"/>
    <col min="18" max="18" width="12.85546875" customWidth="1"/>
  </cols>
  <sheetData>
    <row r="1" spans="1:18" x14ac:dyDescent="0.25">
      <c r="A1" s="2" t="s">
        <v>0</v>
      </c>
    </row>
    <row r="2" spans="1:1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P2" s="2" t="s">
        <v>49</v>
      </c>
      <c r="Q2" s="2" t="s">
        <v>50</v>
      </c>
      <c r="R2" s="2" t="s">
        <v>51</v>
      </c>
    </row>
    <row r="3" spans="1:18" x14ac:dyDescent="0.25">
      <c r="A3">
        <v>1</v>
      </c>
      <c r="B3" t="s">
        <v>15</v>
      </c>
      <c r="C3" t="s">
        <v>16</v>
      </c>
      <c r="D3" s="1">
        <v>4953956</v>
      </c>
      <c r="E3" s="1">
        <v>3150407.5116280001</v>
      </c>
      <c r="F3">
        <v>581.41472899999997</v>
      </c>
      <c r="G3" t="s">
        <v>17</v>
      </c>
      <c r="H3" t="s">
        <v>17</v>
      </c>
      <c r="I3">
        <v>3102</v>
      </c>
      <c r="J3">
        <v>344</v>
      </c>
      <c r="K3" s="1">
        <v>5555</v>
      </c>
      <c r="L3" s="1">
        <v>1597.0199869999999</v>
      </c>
      <c r="M3" s="1">
        <v>1275.269526</v>
      </c>
      <c r="N3">
        <v>18.089017999999999</v>
      </c>
      <c r="P3" t="s">
        <v>52</v>
      </c>
      <c r="Q3">
        <v>0</v>
      </c>
      <c r="R3">
        <f>E3/3150407.511628</f>
        <v>1</v>
      </c>
    </row>
    <row r="4" spans="1:18" x14ac:dyDescent="0.25">
      <c r="A4">
        <v>2</v>
      </c>
      <c r="B4" t="s">
        <v>18</v>
      </c>
      <c r="C4" t="s">
        <v>16</v>
      </c>
      <c r="D4" s="1">
        <v>4274135</v>
      </c>
      <c r="E4" s="1">
        <v>2699978.2093019998</v>
      </c>
      <c r="F4">
        <v>507.46511600000002</v>
      </c>
      <c r="G4" t="s">
        <v>17</v>
      </c>
      <c r="H4" t="s">
        <v>17</v>
      </c>
      <c r="I4">
        <v>3102</v>
      </c>
      <c r="J4">
        <v>343</v>
      </c>
      <c r="K4" s="1">
        <v>4845</v>
      </c>
      <c r="L4" s="1">
        <v>1377.8642809999999</v>
      </c>
      <c r="M4" s="1">
        <v>1144.0203979999999</v>
      </c>
      <c r="N4">
        <v>18.089017999999999</v>
      </c>
      <c r="P4" t="s">
        <v>52</v>
      </c>
      <c r="Q4">
        <v>1</v>
      </c>
      <c r="R4" s="3">
        <f t="shared" ref="R4:R10" si="0">E4/3150407.511628</f>
        <v>0.85702506718147164</v>
      </c>
    </row>
    <row r="5" spans="1:18" x14ac:dyDescent="0.25">
      <c r="A5">
        <v>3</v>
      </c>
      <c r="B5" t="s">
        <v>19</v>
      </c>
      <c r="C5" t="s">
        <v>16</v>
      </c>
      <c r="D5" s="1">
        <v>3238526</v>
      </c>
      <c r="E5" s="1">
        <v>1788485.2790699999</v>
      </c>
      <c r="F5">
        <v>467.45348799999999</v>
      </c>
      <c r="G5" t="s">
        <v>17</v>
      </c>
      <c r="H5" t="s">
        <v>17</v>
      </c>
      <c r="I5">
        <v>3102</v>
      </c>
      <c r="J5">
        <v>343</v>
      </c>
      <c r="K5" s="1">
        <v>3352</v>
      </c>
      <c r="L5" s="1">
        <v>1044.01225</v>
      </c>
      <c r="M5">
        <v>750.65904799999998</v>
      </c>
      <c r="N5">
        <v>18.089017999999999</v>
      </c>
      <c r="P5" t="s">
        <v>52</v>
      </c>
      <c r="Q5">
        <v>3</v>
      </c>
      <c r="R5" s="3">
        <f t="shared" si="0"/>
        <v>0.56769966185923193</v>
      </c>
    </row>
    <row r="6" spans="1:18" x14ac:dyDescent="0.25">
      <c r="A6">
        <v>4</v>
      </c>
      <c r="B6" t="s">
        <v>20</v>
      </c>
      <c r="C6" t="s">
        <v>16</v>
      </c>
      <c r="D6" s="1">
        <v>2647088</v>
      </c>
      <c r="E6" s="1">
        <v>1232395.6511629999</v>
      </c>
      <c r="F6">
        <v>456.05813999999998</v>
      </c>
      <c r="G6" t="s">
        <v>17</v>
      </c>
      <c r="H6" t="s">
        <v>17</v>
      </c>
      <c r="I6">
        <v>3102</v>
      </c>
      <c r="J6">
        <v>336</v>
      </c>
      <c r="K6" s="1">
        <v>2435</v>
      </c>
      <c r="L6">
        <v>853.34880699999997</v>
      </c>
      <c r="M6">
        <v>520.37605900000005</v>
      </c>
      <c r="N6">
        <v>18.089017999999999</v>
      </c>
      <c r="P6" t="s">
        <v>52</v>
      </c>
      <c r="Q6">
        <v>5</v>
      </c>
      <c r="R6" s="3">
        <f t="shared" si="0"/>
        <v>0.39118610738905613</v>
      </c>
    </row>
    <row r="7" spans="1:18" x14ac:dyDescent="0.25">
      <c r="A7">
        <v>5</v>
      </c>
      <c r="B7" t="s">
        <v>21</v>
      </c>
      <c r="C7" t="s">
        <v>16</v>
      </c>
      <c r="D7" s="1">
        <v>1915140</v>
      </c>
      <c r="E7" s="1">
        <v>591463.69767400005</v>
      </c>
      <c r="F7">
        <v>426.71705400000002</v>
      </c>
      <c r="G7" t="s">
        <v>17</v>
      </c>
      <c r="H7" t="s">
        <v>17</v>
      </c>
      <c r="I7">
        <v>3102</v>
      </c>
      <c r="J7">
        <v>320</v>
      </c>
      <c r="K7" s="1">
        <v>1408</v>
      </c>
      <c r="L7">
        <v>617.38878099999999</v>
      </c>
      <c r="M7">
        <v>259.05707799999999</v>
      </c>
      <c r="N7">
        <v>18.089017999999999</v>
      </c>
      <c r="P7" t="s">
        <v>52</v>
      </c>
      <c r="Q7">
        <v>10</v>
      </c>
      <c r="R7" s="3">
        <f t="shared" si="0"/>
        <v>0.18774196528256629</v>
      </c>
    </row>
    <row r="8" spans="1:18" x14ac:dyDescent="0.25">
      <c r="A8">
        <v>6</v>
      </c>
      <c r="B8" t="s">
        <v>22</v>
      </c>
      <c r="C8" t="s">
        <v>16</v>
      </c>
      <c r="D8" s="1">
        <v>1542677</v>
      </c>
      <c r="E8" s="1">
        <v>213602.255814</v>
      </c>
      <c r="F8">
        <v>428.45736399999998</v>
      </c>
      <c r="G8" t="s">
        <v>17</v>
      </c>
      <c r="H8" t="s">
        <v>17</v>
      </c>
      <c r="I8">
        <v>3102</v>
      </c>
      <c r="J8">
        <v>320</v>
      </c>
      <c r="K8">
        <v>794</v>
      </c>
      <c r="L8">
        <v>497.316892</v>
      </c>
      <c r="M8">
        <v>104.28336299999999</v>
      </c>
      <c r="N8">
        <v>18.089017999999999</v>
      </c>
      <c r="P8" t="s">
        <v>52</v>
      </c>
      <c r="Q8">
        <v>30</v>
      </c>
      <c r="R8" s="3">
        <f t="shared" si="0"/>
        <v>6.7801468548308277E-2</v>
      </c>
    </row>
    <row r="9" spans="1:18" x14ac:dyDescent="0.25">
      <c r="A9">
        <v>7</v>
      </c>
      <c r="B9" t="s">
        <v>23</v>
      </c>
      <c r="C9" t="s">
        <v>16</v>
      </c>
      <c r="D9" s="1">
        <v>1450226</v>
      </c>
      <c r="E9" s="1">
        <v>143815.09302299999</v>
      </c>
      <c r="F9">
        <v>421.151163</v>
      </c>
      <c r="G9" t="s">
        <v>17</v>
      </c>
      <c r="H9" t="s">
        <v>17</v>
      </c>
      <c r="I9">
        <v>3102</v>
      </c>
      <c r="J9">
        <v>299</v>
      </c>
      <c r="K9">
        <v>697</v>
      </c>
      <c r="L9">
        <v>467.513217</v>
      </c>
      <c r="M9">
        <v>73.587522000000007</v>
      </c>
      <c r="N9">
        <v>18.089017999999999</v>
      </c>
      <c r="P9" t="s">
        <v>52</v>
      </c>
      <c r="Q9">
        <v>60</v>
      </c>
      <c r="R9" s="3">
        <f t="shared" si="0"/>
        <v>4.5649679443749903E-2</v>
      </c>
    </row>
    <row r="10" spans="1:18" x14ac:dyDescent="0.25">
      <c r="A10">
        <v>8</v>
      </c>
      <c r="B10" t="s">
        <v>24</v>
      </c>
      <c r="C10" t="s">
        <v>16</v>
      </c>
      <c r="D10" s="1">
        <v>1458758</v>
      </c>
      <c r="E10" s="1">
        <v>142932.88372099999</v>
      </c>
      <c r="F10">
        <v>424.18604699999997</v>
      </c>
      <c r="G10" t="s">
        <v>17</v>
      </c>
      <c r="H10" t="s">
        <v>17</v>
      </c>
      <c r="I10">
        <v>3102</v>
      </c>
      <c r="J10">
        <v>308</v>
      </c>
      <c r="K10">
        <v>692</v>
      </c>
      <c r="L10">
        <v>470.26370100000003</v>
      </c>
      <c r="M10">
        <v>82.057012999999998</v>
      </c>
      <c r="N10">
        <v>18.089017999999999</v>
      </c>
      <c r="P10" t="s">
        <v>52</v>
      </c>
      <c r="Q10">
        <v>120</v>
      </c>
      <c r="R10" s="3">
        <f t="shared" si="0"/>
        <v>4.5369649225835612E-2</v>
      </c>
    </row>
    <row r="11" spans="1:18" x14ac:dyDescent="0.25">
      <c r="A11">
        <v>9</v>
      </c>
      <c r="B11" t="s">
        <v>25</v>
      </c>
      <c r="C11" t="s">
        <v>16</v>
      </c>
      <c r="D11" s="1">
        <v>13182235</v>
      </c>
      <c r="E11" s="1">
        <v>10632895.976744</v>
      </c>
      <c r="F11">
        <v>821.83720900000003</v>
      </c>
      <c r="G11" t="s">
        <v>17</v>
      </c>
      <c r="H11" t="s">
        <v>17</v>
      </c>
      <c r="I11">
        <v>3102</v>
      </c>
      <c r="J11">
        <v>327</v>
      </c>
      <c r="K11" s="1">
        <v>14571</v>
      </c>
      <c r="L11" s="1">
        <v>4249.5921989999997</v>
      </c>
      <c r="M11" s="1">
        <v>3860.8780310000002</v>
      </c>
      <c r="N11">
        <v>18.089017999999999</v>
      </c>
      <c r="P11" t="s">
        <v>53</v>
      </c>
      <c r="Q11">
        <v>0</v>
      </c>
      <c r="R11">
        <f>E11/10632895.976744</f>
        <v>1</v>
      </c>
    </row>
    <row r="12" spans="1:18" x14ac:dyDescent="0.25">
      <c r="A12">
        <v>10</v>
      </c>
      <c r="B12" t="s">
        <v>26</v>
      </c>
      <c r="C12" t="s">
        <v>16</v>
      </c>
      <c r="D12" s="1">
        <v>9952624</v>
      </c>
      <c r="E12" s="1">
        <v>7894182.4883719999</v>
      </c>
      <c r="F12">
        <v>663.58527100000003</v>
      </c>
      <c r="G12" t="s">
        <v>17</v>
      </c>
      <c r="H12" t="s">
        <v>17</v>
      </c>
      <c r="I12">
        <v>3102</v>
      </c>
      <c r="J12">
        <v>319</v>
      </c>
      <c r="K12" s="1">
        <v>11129</v>
      </c>
      <c r="L12" s="1">
        <v>3208.4539009999999</v>
      </c>
      <c r="M12" s="1">
        <v>2926.9373519999999</v>
      </c>
      <c r="N12">
        <v>18.089017999999999</v>
      </c>
      <c r="P12" t="s">
        <v>53</v>
      </c>
      <c r="Q12">
        <v>1</v>
      </c>
      <c r="R12" s="3">
        <f t="shared" ref="R12:R18" si="1">E12/10632895.976744</f>
        <v>0.74243014373863481</v>
      </c>
    </row>
    <row r="13" spans="1:18" x14ac:dyDescent="0.25">
      <c r="A13">
        <v>11</v>
      </c>
      <c r="B13" t="s">
        <v>27</v>
      </c>
      <c r="C13" t="s">
        <v>16</v>
      </c>
      <c r="D13" s="1">
        <v>6601994</v>
      </c>
      <c r="E13" s="1">
        <v>4805034.255814</v>
      </c>
      <c r="F13">
        <v>579.29069800000002</v>
      </c>
      <c r="G13" t="s">
        <v>17</v>
      </c>
      <c r="H13" t="s">
        <v>17</v>
      </c>
      <c r="I13">
        <v>3102</v>
      </c>
      <c r="J13">
        <v>307</v>
      </c>
      <c r="K13" s="1">
        <v>6942</v>
      </c>
      <c r="L13" s="1">
        <v>2128.3023859999998</v>
      </c>
      <c r="M13" s="1">
        <v>1789.1133090000001</v>
      </c>
      <c r="N13">
        <v>18.089017999999999</v>
      </c>
      <c r="P13" t="s">
        <v>53</v>
      </c>
      <c r="Q13">
        <v>3</v>
      </c>
      <c r="R13" s="3">
        <f t="shared" si="1"/>
        <v>0.45190268637287989</v>
      </c>
    </row>
    <row r="14" spans="1:18" x14ac:dyDescent="0.25">
      <c r="A14">
        <v>12</v>
      </c>
      <c r="B14" t="s">
        <v>28</v>
      </c>
      <c r="C14" t="s">
        <v>16</v>
      </c>
      <c r="D14" s="1">
        <v>4594418</v>
      </c>
      <c r="E14" s="1">
        <v>2986067.0697670002</v>
      </c>
      <c r="F14">
        <v>518.48837200000003</v>
      </c>
      <c r="G14" t="s">
        <v>17</v>
      </c>
      <c r="H14" t="s">
        <v>17</v>
      </c>
      <c r="I14">
        <v>3102</v>
      </c>
      <c r="J14">
        <v>294</v>
      </c>
      <c r="K14" s="1">
        <v>4973</v>
      </c>
      <c r="L14" s="1">
        <v>1481.114765</v>
      </c>
      <c r="M14" s="1">
        <v>1227.64697</v>
      </c>
      <c r="N14">
        <v>18.089017999999999</v>
      </c>
      <c r="P14" t="s">
        <v>53</v>
      </c>
      <c r="Q14">
        <v>5</v>
      </c>
      <c r="R14" s="3">
        <f t="shared" si="1"/>
        <v>0.28083290538137967</v>
      </c>
    </row>
    <row r="15" spans="1:18" x14ac:dyDescent="0.25">
      <c r="A15">
        <v>13</v>
      </c>
      <c r="B15" t="s">
        <v>29</v>
      </c>
      <c r="C15" t="s">
        <v>16</v>
      </c>
      <c r="D15" s="1">
        <v>2793331</v>
      </c>
      <c r="E15" s="1">
        <v>1359413.465116</v>
      </c>
      <c r="F15">
        <v>462.25581399999999</v>
      </c>
      <c r="G15" t="s">
        <v>17</v>
      </c>
      <c r="H15" t="s">
        <v>17</v>
      </c>
      <c r="I15">
        <v>3102</v>
      </c>
      <c r="J15">
        <v>286</v>
      </c>
      <c r="K15" s="1">
        <v>2542</v>
      </c>
      <c r="L15">
        <v>900.49355300000002</v>
      </c>
      <c r="M15">
        <v>590.72109599999999</v>
      </c>
      <c r="N15">
        <v>18.089017999999999</v>
      </c>
      <c r="P15" t="s">
        <v>53</v>
      </c>
      <c r="Q15">
        <v>10</v>
      </c>
      <c r="R15" s="3">
        <f t="shared" si="1"/>
        <v>0.1278497850528468</v>
      </c>
    </row>
    <row r="16" spans="1:18" x14ac:dyDescent="0.25">
      <c r="A16">
        <v>14</v>
      </c>
      <c r="B16" t="s">
        <v>30</v>
      </c>
      <c r="C16" t="s">
        <v>16</v>
      </c>
      <c r="D16" s="1">
        <v>1413664</v>
      </c>
      <c r="E16" s="1">
        <v>269338.604651</v>
      </c>
      <c r="F16">
        <v>368.899225</v>
      </c>
      <c r="G16" t="s">
        <v>17</v>
      </c>
      <c r="H16" t="s">
        <v>17</v>
      </c>
      <c r="I16">
        <v>3102</v>
      </c>
      <c r="J16">
        <v>274</v>
      </c>
      <c r="K16">
        <v>798</v>
      </c>
      <c r="L16">
        <v>455.72662800000001</v>
      </c>
      <c r="M16">
        <v>126.181511</v>
      </c>
      <c r="N16">
        <v>18.089017999999999</v>
      </c>
      <c r="P16" t="s">
        <v>53</v>
      </c>
      <c r="Q16">
        <v>30</v>
      </c>
      <c r="R16" s="3">
        <f t="shared" si="1"/>
        <v>2.5330691209628171E-2</v>
      </c>
    </row>
    <row r="17" spans="1:18" x14ac:dyDescent="0.25">
      <c r="A17">
        <v>15</v>
      </c>
      <c r="B17" t="s">
        <v>31</v>
      </c>
      <c r="C17" t="s">
        <v>16</v>
      </c>
      <c r="D17" s="1">
        <v>1188608</v>
      </c>
      <c r="E17" s="1">
        <v>76336.604651000001</v>
      </c>
      <c r="F17">
        <v>358.56589100000002</v>
      </c>
      <c r="G17" t="s">
        <v>17</v>
      </c>
      <c r="H17" t="s">
        <v>17</v>
      </c>
      <c r="I17">
        <v>3102</v>
      </c>
      <c r="J17">
        <v>265</v>
      </c>
      <c r="K17">
        <v>660</v>
      </c>
      <c r="L17">
        <v>383.17472600000002</v>
      </c>
      <c r="M17">
        <v>62.005104000000003</v>
      </c>
      <c r="N17">
        <v>18.089017999999999</v>
      </c>
      <c r="P17" t="s">
        <v>53</v>
      </c>
      <c r="Q17">
        <v>60</v>
      </c>
      <c r="R17" s="3">
        <f t="shared" si="1"/>
        <v>7.1792863221799112E-3</v>
      </c>
    </row>
    <row r="18" spans="1:18" x14ac:dyDescent="0.25">
      <c r="A18">
        <v>16</v>
      </c>
      <c r="B18" t="s">
        <v>32</v>
      </c>
      <c r="C18" t="s">
        <v>16</v>
      </c>
      <c r="D18" s="1">
        <v>1132889</v>
      </c>
      <c r="E18" s="1">
        <v>67676.627907000002</v>
      </c>
      <c r="F18">
        <v>343.39534900000001</v>
      </c>
      <c r="G18" t="s">
        <v>17</v>
      </c>
      <c r="H18" t="s">
        <v>17</v>
      </c>
      <c r="I18">
        <v>3102</v>
      </c>
      <c r="J18">
        <v>265</v>
      </c>
      <c r="K18">
        <v>511</v>
      </c>
      <c r="L18">
        <v>365.212444</v>
      </c>
      <c r="M18">
        <v>50.544600000000003</v>
      </c>
      <c r="N18">
        <v>18.089017999999999</v>
      </c>
      <c r="P18" t="s">
        <v>53</v>
      </c>
      <c r="Q18">
        <v>120</v>
      </c>
      <c r="R18" s="3">
        <f t="shared" si="1"/>
        <v>6.3648349476022907E-3</v>
      </c>
    </row>
    <row r="19" spans="1:18" x14ac:dyDescent="0.25">
      <c r="A19">
        <v>17</v>
      </c>
      <c r="B19" t="s">
        <v>33</v>
      </c>
      <c r="C19" t="s">
        <v>16</v>
      </c>
      <c r="D19" s="1">
        <v>13007829</v>
      </c>
      <c r="E19" s="1">
        <v>10710894.186047001</v>
      </c>
      <c r="F19">
        <v>740.46899199999996</v>
      </c>
      <c r="G19" t="s">
        <v>17</v>
      </c>
      <c r="H19" t="s">
        <v>17</v>
      </c>
      <c r="I19">
        <v>3102</v>
      </c>
      <c r="J19">
        <v>309</v>
      </c>
      <c r="K19" s="1">
        <v>12811</v>
      </c>
      <c r="L19" s="1">
        <v>4193.3684720000001</v>
      </c>
      <c r="M19" s="1">
        <v>3543.7086850000001</v>
      </c>
      <c r="N19">
        <v>18.089017999999999</v>
      </c>
      <c r="P19" t="s">
        <v>54</v>
      </c>
      <c r="Q19">
        <v>0</v>
      </c>
      <c r="R19">
        <f>E19/10710894.186047</f>
        <v>1</v>
      </c>
    </row>
    <row r="20" spans="1:18" x14ac:dyDescent="0.25">
      <c r="A20">
        <v>18</v>
      </c>
      <c r="B20" t="s">
        <v>34</v>
      </c>
      <c r="C20" t="s">
        <v>16</v>
      </c>
      <c r="D20" s="1">
        <v>8423296</v>
      </c>
      <c r="E20" s="1">
        <v>6498444.8837209996</v>
      </c>
      <c r="F20">
        <v>620.51937999999996</v>
      </c>
      <c r="G20" t="s">
        <v>17</v>
      </c>
      <c r="H20" t="s">
        <v>17</v>
      </c>
      <c r="I20">
        <v>3102</v>
      </c>
      <c r="J20">
        <v>278</v>
      </c>
      <c r="K20" s="1">
        <v>7875</v>
      </c>
      <c r="L20" s="1">
        <v>2715.4403609999999</v>
      </c>
      <c r="M20" s="1">
        <v>2124.325953</v>
      </c>
      <c r="N20">
        <v>18.089017999999999</v>
      </c>
      <c r="P20" t="s">
        <v>54</v>
      </c>
      <c r="Q20">
        <v>1</v>
      </c>
      <c r="R20" s="3">
        <f t="shared" ref="R20:R26" si="2">E20/10710894.186047</f>
        <v>0.60671357319414787</v>
      </c>
    </row>
    <row r="21" spans="1:18" x14ac:dyDescent="0.25">
      <c r="A21">
        <v>19</v>
      </c>
      <c r="B21" t="s">
        <v>35</v>
      </c>
      <c r="C21" t="s">
        <v>16</v>
      </c>
      <c r="D21" s="1">
        <v>3867804</v>
      </c>
      <c r="E21" s="1">
        <v>2354412.744186</v>
      </c>
      <c r="F21">
        <v>487.875969</v>
      </c>
      <c r="G21" t="s">
        <v>17</v>
      </c>
      <c r="H21" t="s">
        <v>17</v>
      </c>
      <c r="I21">
        <v>3102</v>
      </c>
      <c r="J21">
        <v>296</v>
      </c>
      <c r="K21" s="1">
        <v>3905</v>
      </c>
      <c r="L21" s="1">
        <v>1246.8742749999999</v>
      </c>
      <c r="M21">
        <v>963.56334300000003</v>
      </c>
      <c r="N21">
        <v>18.089017999999999</v>
      </c>
      <c r="P21" t="s">
        <v>54</v>
      </c>
      <c r="Q21">
        <v>3</v>
      </c>
      <c r="R21" s="3">
        <f t="shared" si="2"/>
        <v>0.21981477020406712</v>
      </c>
    </row>
    <row r="22" spans="1:18" x14ac:dyDescent="0.25">
      <c r="A22">
        <v>20</v>
      </c>
      <c r="B22" t="s">
        <v>36</v>
      </c>
      <c r="C22" t="s">
        <v>16</v>
      </c>
      <c r="D22" s="1">
        <v>2267466</v>
      </c>
      <c r="E22" s="1">
        <v>877409.30232599995</v>
      </c>
      <c r="F22">
        <v>448.11627900000002</v>
      </c>
      <c r="G22" t="s">
        <v>17</v>
      </c>
      <c r="H22" t="s">
        <v>17</v>
      </c>
      <c r="I22">
        <v>3102</v>
      </c>
      <c r="J22">
        <v>303</v>
      </c>
      <c r="K22" s="1">
        <v>1635</v>
      </c>
      <c r="L22">
        <v>730.96905200000003</v>
      </c>
      <c r="M22">
        <v>348.86547000000002</v>
      </c>
      <c r="N22">
        <v>18.089017999999999</v>
      </c>
      <c r="P22" t="s">
        <v>54</v>
      </c>
      <c r="Q22">
        <v>5</v>
      </c>
      <c r="R22" s="3">
        <f t="shared" si="2"/>
        <v>8.1917465254114294E-2</v>
      </c>
    </row>
    <row r="23" spans="1:18" x14ac:dyDescent="0.25">
      <c r="A23">
        <v>21</v>
      </c>
      <c r="B23" t="s">
        <v>37</v>
      </c>
      <c r="C23" t="s">
        <v>16</v>
      </c>
      <c r="D23" s="1">
        <v>1403087</v>
      </c>
      <c r="E23" s="1">
        <v>177809.02325599999</v>
      </c>
      <c r="F23">
        <v>394.99612400000001</v>
      </c>
      <c r="G23" t="s">
        <v>17</v>
      </c>
      <c r="H23" t="s">
        <v>17</v>
      </c>
      <c r="I23">
        <v>3102</v>
      </c>
      <c r="J23">
        <v>295</v>
      </c>
      <c r="K23">
        <v>681</v>
      </c>
      <c r="L23">
        <v>452.316892</v>
      </c>
      <c r="M23">
        <v>88.292670000000001</v>
      </c>
      <c r="N23">
        <v>18.089017999999999</v>
      </c>
      <c r="P23" t="s">
        <v>54</v>
      </c>
      <c r="Q23">
        <v>10</v>
      </c>
      <c r="R23" s="3">
        <f t="shared" si="2"/>
        <v>1.660076368671725E-2</v>
      </c>
    </row>
    <row r="24" spans="1:18" x14ac:dyDescent="0.25">
      <c r="A24">
        <v>22</v>
      </c>
      <c r="B24" t="s">
        <v>38</v>
      </c>
      <c r="C24" t="s">
        <v>16</v>
      </c>
      <c r="D24" s="1">
        <v>1218494</v>
      </c>
      <c r="E24" s="1">
        <v>53344.325580999997</v>
      </c>
      <c r="F24">
        <v>375.61240299999997</v>
      </c>
      <c r="G24" t="s">
        <v>17</v>
      </c>
      <c r="H24" t="s">
        <v>17</v>
      </c>
      <c r="I24">
        <v>3102</v>
      </c>
      <c r="J24">
        <v>291</v>
      </c>
      <c r="K24">
        <v>516</v>
      </c>
      <c r="L24">
        <v>392.80915499999998</v>
      </c>
      <c r="M24">
        <v>40.970554999999997</v>
      </c>
      <c r="N24">
        <v>18.089017999999999</v>
      </c>
      <c r="P24" t="s">
        <v>54</v>
      </c>
      <c r="Q24">
        <v>30</v>
      </c>
      <c r="R24" s="3">
        <f t="shared" si="2"/>
        <v>4.9803802235756601E-3</v>
      </c>
    </row>
    <row r="25" spans="1:18" x14ac:dyDescent="0.25">
      <c r="A25">
        <v>23</v>
      </c>
      <c r="B25" t="s">
        <v>39</v>
      </c>
      <c r="C25" t="s">
        <v>16</v>
      </c>
      <c r="D25" s="1">
        <v>1214479</v>
      </c>
      <c r="E25" s="1">
        <v>55930.093023000001</v>
      </c>
      <c r="F25">
        <v>373.48449599999998</v>
      </c>
      <c r="G25" t="s">
        <v>17</v>
      </c>
      <c r="H25" t="s">
        <v>17</v>
      </c>
      <c r="I25">
        <v>3102</v>
      </c>
      <c r="J25">
        <v>282</v>
      </c>
      <c r="K25">
        <v>555</v>
      </c>
      <c r="L25">
        <v>391.51482900000002</v>
      </c>
      <c r="M25">
        <v>43.188918000000001</v>
      </c>
      <c r="N25">
        <v>18.089017999999999</v>
      </c>
      <c r="P25" t="s">
        <v>54</v>
      </c>
      <c r="Q25">
        <v>60</v>
      </c>
      <c r="R25" s="3">
        <f t="shared" si="2"/>
        <v>5.2217949362117402E-3</v>
      </c>
    </row>
    <row r="26" spans="1:18" x14ac:dyDescent="0.25">
      <c r="A26">
        <v>24</v>
      </c>
      <c r="B26" t="s">
        <v>40</v>
      </c>
      <c r="C26" t="s">
        <v>16</v>
      </c>
      <c r="D26" s="1">
        <v>1236271</v>
      </c>
      <c r="E26" s="1">
        <v>30446.651162999999</v>
      </c>
      <c r="F26">
        <v>388.724806</v>
      </c>
      <c r="G26" t="s">
        <v>17</v>
      </c>
      <c r="H26" t="s">
        <v>17</v>
      </c>
      <c r="I26">
        <v>3102</v>
      </c>
      <c r="J26">
        <v>294</v>
      </c>
      <c r="K26">
        <v>514</v>
      </c>
      <c r="L26">
        <v>398.53997399999997</v>
      </c>
      <c r="M26">
        <v>42.372221000000003</v>
      </c>
      <c r="N26">
        <v>18.089017999999999</v>
      </c>
      <c r="P26" t="s">
        <v>54</v>
      </c>
      <c r="Q26">
        <v>120</v>
      </c>
      <c r="R26" s="3">
        <f t="shared" si="2"/>
        <v>2.8425872419375236E-3</v>
      </c>
    </row>
    <row r="27" spans="1:18" x14ac:dyDescent="0.25">
      <c r="A27">
        <v>25</v>
      </c>
      <c r="B27" t="s">
        <v>41</v>
      </c>
      <c r="C27" t="s">
        <v>16</v>
      </c>
      <c r="D27" s="1">
        <v>14481015</v>
      </c>
      <c r="E27" s="1">
        <v>11432398.255813999</v>
      </c>
      <c r="F27">
        <v>982.79069800000002</v>
      </c>
      <c r="G27" t="s">
        <v>17</v>
      </c>
      <c r="H27" t="s">
        <v>17</v>
      </c>
      <c r="I27">
        <v>3102</v>
      </c>
      <c r="J27">
        <v>280</v>
      </c>
      <c r="K27" s="1">
        <v>13823</v>
      </c>
      <c r="L27" s="1">
        <v>4668.2833659999997</v>
      </c>
      <c r="M27" s="1">
        <v>3812.0792270000002</v>
      </c>
      <c r="N27">
        <v>18.089017999999999</v>
      </c>
      <c r="P27" t="s">
        <v>55</v>
      </c>
      <c r="Q27">
        <v>0</v>
      </c>
      <c r="R27">
        <f>E27/11432398.255814</f>
        <v>1</v>
      </c>
    </row>
    <row r="28" spans="1:18" x14ac:dyDescent="0.25">
      <c r="A28">
        <v>26</v>
      </c>
      <c r="B28" t="s">
        <v>42</v>
      </c>
      <c r="C28" t="s">
        <v>16</v>
      </c>
      <c r="D28" s="1">
        <v>11898038</v>
      </c>
      <c r="E28" s="1">
        <v>9729343.2325580008</v>
      </c>
      <c r="F28">
        <v>699.12790700000005</v>
      </c>
      <c r="G28" t="s">
        <v>17</v>
      </c>
      <c r="H28" t="s">
        <v>17</v>
      </c>
      <c r="I28">
        <v>3102</v>
      </c>
      <c r="J28">
        <v>278</v>
      </c>
      <c r="K28" s="1">
        <v>12096</v>
      </c>
      <c r="L28" s="1">
        <v>3835.6021919999998</v>
      </c>
      <c r="M28" s="1">
        <v>3218.6884580000001</v>
      </c>
      <c r="N28">
        <v>18.089017999999999</v>
      </c>
      <c r="P28" t="s">
        <v>55</v>
      </c>
      <c r="Q28">
        <v>1</v>
      </c>
      <c r="R28" s="3">
        <f t="shared" ref="R28:R34" si="3">E28/11432398.255814</f>
        <v>0.85103256682036055</v>
      </c>
    </row>
    <row r="29" spans="1:18" x14ac:dyDescent="0.25">
      <c r="A29">
        <v>27</v>
      </c>
      <c r="B29" t="s">
        <v>43</v>
      </c>
      <c r="C29" t="s">
        <v>16</v>
      </c>
      <c r="D29" s="1">
        <v>10732325</v>
      </c>
      <c r="E29" s="1">
        <v>7800502.1627909997</v>
      </c>
      <c r="F29">
        <v>945.13953500000002</v>
      </c>
      <c r="G29" t="s">
        <v>17</v>
      </c>
      <c r="H29" t="s">
        <v>17</v>
      </c>
      <c r="I29">
        <v>3102</v>
      </c>
      <c r="J29">
        <v>297</v>
      </c>
      <c r="K29" s="1">
        <v>9785</v>
      </c>
      <c r="L29" s="1">
        <v>3459.808188</v>
      </c>
      <c r="M29" s="1">
        <v>2702.45037</v>
      </c>
      <c r="N29">
        <v>18.089017999999999</v>
      </c>
      <c r="P29" t="s">
        <v>55</v>
      </c>
      <c r="Q29">
        <v>3</v>
      </c>
      <c r="R29" s="3">
        <f t="shared" si="3"/>
        <v>0.68231546769497975</v>
      </c>
    </row>
    <row r="30" spans="1:18" x14ac:dyDescent="0.25">
      <c r="A30">
        <v>28</v>
      </c>
      <c r="B30" t="s">
        <v>44</v>
      </c>
      <c r="C30" t="s">
        <v>16</v>
      </c>
      <c r="D30" s="1">
        <v>8964087</v>
      </c>
      <c r="E30" s="1">
        <v>6121284.3488370003</v>
      </c>
      <c r="F30">
        <v>916.44186000000002</v>
      </c>
      <c r="G30" t="s">
        <v>17</v>
      </c>
      <c r="H30" t="s">
        <v>17</v>
      </c>
      <c r="I30">
        <v>3102</v>
      </c>
      <c r="J30">
        <v>274</v>
      </c>
      <c r="K30" s="1">
        <v>9250</v>
      </c>
      <c r="L30" s="1">
        <v>2889.7765960000002</v>
      </c>
      <c r="M30" s="1">
        <v>2385.0336379999999</v>
      </c>
      <c r="N30">
        <v>18.089017999999999</v>
      </c>
      <c r="P30" t="s">
        <v>55</v>
      </c>
      <c r="Q30">
        <v>5</v>
      </c>
      <c r="R30" s="3">
        <f t="shared" si="3"/>
        <v>0.53543309215317025</v>
      </c>
    </row>
    <row r="31" spans="1:18" x14ac:dyDescent="0.25">
      <c r="A31">
        <v>29</v>
      </c>
      <c r="B31" t="s">
        <v>45</v>
      </c>
      <c r="C31" t="s">
        <v>16</v>
      </c>
      <c r="D31" s="1">
        <v>6569311</v>
      </c>
      <c r="E31" s="1">
        <v>4756636.8604650004</v>
      </c>
      <c r="F31">
        <v>584.35658899999999</v>
      </c>
      <c r="G31" t="s">
        <v>17</v>
      </c>
      <c r="H31" t="s">
        <v>17</v>
      </c>
      <c r="I31">
        <v>3102</v>
      </c>
      <c r="J31">
        <v>264</v>
      </c>
      <c r="K31" s="1">
        <v>6217</v>
      </c>
      <c r="L31" s="1">
        <v>2117.7662799999998</v>
      </c>
      <c r="M31" s="1">
        <v>1594.5275300000001</v>
      </c>
      <c r="N31">
        <v>18.089017999999999</v>
      </c>
      <c r="P31" t="s">
        <v>55</v>
      </c>
      <c r="Q31">
        <v>10</v>
      </c>
      <c r="R31" s="3">
        <f t="shared" si="3"/>
        <v>0.41606640654300076</v>
      </c>
    </row>
    <row r="32" spans="1:18" x14ac:dyDescent="0.25">
      <c r="A32">
        <v>30</v>
      </c>
      <c r="B32" t="s">
        <v>46</v>
      </c>
      <c r="C32" t="s">
        <v>16</v>
      </c>
      <c r="D32" s="1">
        <v>4339295</v>
      </c>
      <c r="E32" s="1">
        <v>2809660.3255810002</v>
      </c>
      <c r="F32">
        <v>493.11240299999997</v>
      </c>
      <c r="G32" t="s">
        <v>17</v>
      </c>
      <c r="H32" t="s">
        <v>17</v>
      </c>
      <c r="I32">
        <v>3102</v>
      </c>
      <c r="J32">
        <v>236</v>
      </c>
      <c r="K32" s="1">
        <v>3426</v>
      </c>
      <c r="L32" s="1">
        <v>1398.8700839999999</v>
      </c>
      <c r="M32">
        <v>875.98459100000002</v>
      </c>
      <c r="N32">
        <v>18.089017999999999</v>
      </c>
      <c r="P32" t="s">
        <v>55</v>
      </c>
      <c r="Q32">
        <v>30</v>
      </c>
      <c r="R32" s="3">
        <f t="shared" si="3"/>
        <v>0.24576298539566135</v>
      </c>
    </row>
    <row r="33" spans="1:18" x14ac:dyDescent="0.25">
      <c r="A33">
        <v>31</v>
      </c>
      <c r="B33" t="s">
        <v>47</v>
      </c>
      <c r="C33" t="s">
        <v>16</v>
      </c>
      <c r="D33" s="1">
        <v>3329839</v>
      </c>
      <c r="E33" s="1">
        <v>1930873.0697669999</v>
      </c>
      <c r="F33">
        <v>450.98837200000003</v>
      </c>
      <c r="G33" t="s">
        <v>17</v>
      </c>
      <c r="H33" t="s">
        <v>17</v>
      </c>
      <c r="I33">
        <v>3102</v>
      </c>
      <c r="J33">
        <v>251</v>
      </c>
      <c r="K33" s="1">
        <v>2719</v>
      </c>
      <c r="L33" s="1">
        <v>1073.449065</v>
      </c>
      <c r="M33">
        <v>631.88170000000002</v>
      </c>
      <c r="N33">
        <v>18.089017999999999</v>
      </c>
      <c r="P33" t="s">
        <v>55</v>
      </c>
      <c r="Q33">
        <v>60</v>
      </c>
      <c r="R33" s="3">
        <f t="shared" si="3"/>
        <v>0.16889483960944462</v>
      </c>
    </row>
    <row r="34" spans="1:18" x14ac:dyDescent="0.25">
      <c r="A34">
        <v>32</v>
      </c>
      <c r="B34" t="s">
        <v>48</v>
      </c>
      <c r="C34" t="s">
        <v>16</v>
      </c>
      <c r="D34" s="1">
        <v>3348522</v>
      </c>
      <c r="E34" s="1">
        <v>2054086.255814</v>
      </c>
      <c r="F34">
        <v>417.29069800000002</v>
      </c>
      <c r="G34" t="s">
        <v>17</v>
      </c>
      <c r="H34" t="s">
        <v>17</v>
      </c>
      <c r="I34">
        <v>3102</v>
      </c>
      <c r="J34">
        <v>255</v>
      </c>
      <c r="K34" s="1">
        <v>2696</v>
      </c>
      <c r="L34" s="1">
        <v>1079.4719540000001</v>
      </c>
      <c r="M34">
        <v>656.46142399999997</v>
      </c>
      <c r="N34">
        <v>18.089017999999999</v>
      </c>
      <c r="P34" t="s">
        <v>55</v>
      </c>
      <c r="Q34">
        <v>120</v>
      </c>
      <c r="R34" s="3">
        <f t="shared" si="3"/>
        <v>0.17967238455582887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34"/>
  <sheetViews>
    <sheetView workbookViewId="0">
      <selection activeCell="A2" sqref="A2:G34"/>
    </sheetView>
  </sheetViews>
  <sheetFormatPr defaultRowHeight="15" x14ac:dyDescent="0.25"/>
  <cols>
    <col min="1" max="1" width="11.7109375" style="5" customWidth="1"/>
    <col min="2" max="2" width="9.140625" style="5"/>
  </cols>
  <sheetData>
    <row r="2" spans="1:7" x14ac:dyDescent="0.25">
      <c r="A2" s="2" t="s">
        <v>49</v>
      </c>
      <c r="B2" s="2" t="s">
        <v>50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</row>
    <row r="3" spans="1:7" x14ac:dyDescent="0.25">
      <c r="A3" s="5" t="s">
        <v>52</v>
      </c>
      <c r="B3" s="5">
        <v>0</v>
      </c>
      <c r="C3">
        <v>1</v>
      </c>
      <c r="D3">
        <v>1</v>
      </c>
      <c r="E3">
        <v>1</v>
      </c>
      <c r="F3">
        <f>AVERAGE(Summarised_data!C3:E3)</f>
        <v>1</v>
      </c>
      <c r="G3">
        <f>_xlfn.STDEV.S(C3:E3)</f>
        <v>0</v>
      </c>
    </row>
    <row r="4" spans="1:7" x14ac:dyDescent="0.25">
      <c r="A4" s="5" t="s">
        <v>52</v>
      </c>
      <c r="B4" s="5">
        <v>1</v>
      </c>
      <c r="C4">
        <v>0.69329940651965771</v>
      </c>
      <c r="D4">
        <v>0.80905499964515659</v>
      </c>
      <c r="E4">
        <v>0.85702506718147164</v>
      </c>
      <c r="F4" s="5">
        <f>AVERAGE(Summarised_data!C4:E4)</f>
        <v>0.78645982444876195</v>
      </c>
      <c r="G4" s="5">
        <f t="shared" ref="G4:G34" si="0">_xlfn.STDEV.S(C4:E4)</f>
        <v>8.4169052783096512E-2</v>
      </c>
    </row>
    <row r="5" spans="1:7" x14ac:dyDescent="0.25">
      <c r="A5" s="5" t="s">
        <v>52</v>
      </c>
      <c r="B5" s="5">
        <v>3</v>
      </c>
      <c r="C5">
        <v>0.51663446710171468</v>
      </c>
      <c r="D5">
        <v>0.54401184607684983</v>
      </c>
      <c r="E5">
        <v>0.56769966185923193</v>
      </c>
      <c r="F5" s="5">
        <f>AVERAGE(Summarised_data!C5:E5)</f>
        <v>0.54278199167926555</v>
      </c>
      <c r="G5" s="5">
        <f t="shared" si="0"/>
        <v>2.555480258748314E-2</v>
      </c>
    </row>
    <row r="6" spans="1:7" x14ac:dyDescent="0.25">
      <c r="A6" s="5" t="s">
        <v>52</v>
      </c>
      <c r="B6" s="5">
        <v>5</v>
      </c>
      <c r="C6">
        <v>0.38796528048032192</v>
      </c>
      <c r="D6">
        <v>0.36134296065766419</v>
      </c>
      <c r="E6">
        <v>0.39118610738905613</v>
      </c>
      <c r="F6" s="5">
        <f>AVERAGE(Summarised_data!C6:E6)</f>
        <v>0.38016478284234739</v>
      </c>
      <c r="G6" s="5">
        <f t="shared" si="0"/>
        <v>1.6379535227163244E-2</v>
      </c>
    </row>
    <row r="7" spans="1:7" x14ac:dyDescent="0.25">
      <c r="A7" s="5" t="s">
        <v>52</v>
      </c>
      <c r="B7" s="5">
        <v>10</v>
      </c>
      <c r="C7">
        <v>0.22145604122502377</v>
      </c>
      <c r="D7">
        <v>0.20767450608425941</v>
      </c>
      <c r="E7">
        <v>0.18774196528256629</v>
      </c>
      <c r="F7" s="5">
        <f>AVERAGE(Summarised_data!C7:E7)</f>
        <v>0.20562417086394982</v>
      </c>
      <c r="G7" s="5">
        <f t="shared" si="0"/>
        <v>1.6950298966395227E-2</v>
      </c>
    </row>
    <row r="8" spans="1:7" x14ac:dyDescent="0.25">
      <c r="A8" s="5" t="s">
        <v>52</v>
      </c>
      <c r="B8" s="5">
        <v>30</v>
      </c>
      <c r="C8">
        <v>0.11384916790135814</v>
      </c>
      <c r="D8">
        <v>6.8183148190411783E-2</v>
      </c>
      <c r="E8">
        <v>6.7801468548308277E-2</v>
      </c>
      <c r="F8" s="5">
        <f>AVERAGE(Summarised_data!C8:E8)</f>
        <v>8.3277928213359401E-2</v>
      </c>
      <c r="G8" s="5">
        <f t="shared" si="0"/>
        <v>2.6476157989464785E-2</v>
      </c>
    </row>
    <row r="9" spans="1:7" x14ac:dyDescent="0.25">
      <c r="A9" s="5" t="s">
        <v>52</v>
      </c>
      <c r="B9" s="5">
        <v>60</v>
      </c>
      <c r="C9">
        <v>7.4223966958087542E-2</v>
      </c>
      <c r="D9">
        <v>5.3644625177880018E-2</v>
      </c>
      <c r="E9">
        <v>4.5649679443749903E-2</v>
      </c>
      <c r="F9" s="5">
        <f>AVERAGE(Summarised_data!C9:E9)</f>
        <v>5.7839423859905821E-2</v>
      </c>
      <c r="G9" s="5">
        <f t="shared" si="0"/>
        <v>1.4741768168203275E-2</v>
      </c>
    </row>
    <row r="10" spans="1:7" x14ac:dyDescent="0.25">
      <c r="A10" s="5" t="s">
        <v>52</v>
      </c>
      <c r="B10" s="5">
        <v>120</v>
      </c>
      <c r="C10">
        <v>8.5337662043165272E-2</v>
      </c>
      <c r="D10">
        <v>5.2817901590459848E-2</v>
      </c>
      <c r="E10">
        <v>4.5369649225835612E-2</v>
      </c>
      <c r="F10" s="5">
        <f>AVERAGE(Summarised_data!C10:E10)</f>
        <v>6.1175070953153582E-2</v>
      </c>
      <c r="G10" s="5">
        <f t="shared" si="0"/>
        <v>2.1254228331301868E-2</v>
      </c>
    </row>
    <row r="11" spans="1:7" x14ac:dyDescent="0.25">
      <c r="A11" s="5" t="s">
        <v>53</v>
      </c>
      <c r="B11" s="5">
        <v>0</v>
      </c>
      <c r="C11">
        <v>1</v>
      </c>
      <c r="D11">
        <v>1</v>
      </c>
      <c r="E11">
        <v>1</v>
      </c>
      <c r="F11" s="5">
        <f>AVERAGE(Summarised_data!C11:E11)</f>
        <v>1</v>
      </c>
      <c r="G11" s="5">
        <f t="shared" si="0"/>
        <v>0</v>
      </c>
    </row>
    <row r="12" spans="1:7" x14ac:dyDescent="0.25">
      <c r="A12" s="5" t="s">
        <v>53</v>
      </c>
      <c r="B12" s="5">
        <v>1</v>
      </c>
      <c r="C12">
        <v>0.71547590196485089</v>
      </c>
      <c r="D12">
        <v>0.73986018220136129</v>
      </c>
      <c r="E12">
        <v>0.74243014373863481</v>
      </c>
      <c r="F12" s="5">
        <f>AVERAGE(Summarised_data!C12:E12)</f>
        <v>0.732588742634949</v>
      </c>
      <c r="G12" s="5">
        <f t="shared" si="0"/>
        <v>1.4875757541244384E-2</v>
      </c>
    </row>
    <row r="13" spans="1:7" x14ac:dyDescent="0.25">
      <c r="A13" s="5" t="s">
        <v>53</v>
      </c>
      <c r="B13" s="5">
        <v>3</v>
      </c>
      <c r="C13">
        <v>0.47631894711090511</v>
      </c>
      <c r="D13">
        <v>0.44604992272093141</v>
      </c>
      <c r="E13">
        <v>0.45190268637287989</v>
      </c>
      <c r="F13" s="5">
        <f>AVERAGE(Summarised_data!C13:E13)</f>
        <v>0.45809051873490542</v>
      </c>
      <c r="G13" s="5">
        <f t="shared" si="0"/>
        <v>1.6055230032160982E-2</v>
      </c>
    </row>
    <row r="14" spans="1:7" x14ac:dyDescent="0.25">
      <c r="A14" s="5" t="s">
        <v>53</v>
      </c>
      <c r="B14" s="5">
        <v>5</v>
      </c>
      <c r="C14">
        <v>0.33464166343899826</v>
      </c>
      <c r="D14">
        <v>0.28356840687550772</v>
      </c>
      <c r="E14">
        <v>0.28083290538137967</v>
      </c>
      <c r="F14" s="5">
        <f>AVERAGE(Summarised_data!C14:E14)</f>
        <v>0.29968099189862851</v>
      </c>
      <c r="G14" s="5">
        <f t="shared" si="0"/>
        <v>3.0307707897848472E-2</v>
      </c>
    </row>
    <row r="15" spans="1:7" x14ac:dyDescent="0.25">
      <c r="A15" s="5" t="s">
        <v>53</v>
      </c>
      <c r="B15" s="5">
        <v>10</v>
      </c>
      <c r="C15">
        <v>0.16190004257844284</v>
      </c>
      <c r="D15">
        <v>0.1635616894381666</v>
      </c>
      <c r="E15">
        <v>0.1278497850528468</v>
      </c>
      <c r="F15" s="5">
        <f>AVERAGE(Summarised_data!C15:E15)</f>
        <v>0.15110383902315208</v>
      </c>
      <c r="G15" s="5">
        <f t="shared" si="0"/>
        <v>2.0155732115505254E-2</v>
      </c>
    </row>
    <row r="16" spans="1:7" x14ac:dyDescent="0.25">
      <c r="A16" s="5" t="s">
        <v>53</v>
      </c>
      <c r="B16" s="5">
        <v>30</v>
      </c>
      <c r="C16">
        <v>5.1007815389653426E-2</v>
      </c>
      <c r="D16">
        <v>4.0448121685302318E-2</v>
      </c>
      <c r="E16">
        <v>2.5330691209628171E-2</v>
      </c>
      <c r="F16" s="5">
        <f>AVERAGE(Summarised_data!C16:E16)</f>
        <v>3.8928876094861307E-2</v>
      </c>
      <c r="G16" s="5">
        <f t="shared" si="0"/>
        <v>1.2905803226152391E-2</v>
      </c>
    </row>
    <row r="17" spans="1:7" x14ac:dyDescent="0.25">
      <c r="A17" s="5" t="s">
        <v>53</v>
      </c>
      <c r="B17" s="5">
        <v>60</v>
      </c>
      <c r="C17">
        <v>2.2377591094130112E-2</v>
      </c>
      <c r="D17">
        <v>2.3473152170484859E-2</v>
      </c>
      <c r="E17">
        <v>7.1792863221799112E-3</v>
      </c>
      <c r="F17" s="5">
        <f>AVERAGE(Summarised_data!C17:E17)</f>
        <v>1.7676676528931626E-2</v>
      </c>
      <c r="G17" s="5">
        <f t="shared" si="0"/>
        <v>9.1074949564965996E-3</v>
      </c>
    </row>
    <row r="18" spans="1:7" x14ac:dyDescent="0.25">
      <c r="A18" s="5" t="s">
        <v>53</v>
      </c>
      <c r="B18" s="5">
        <v>120</v>
      </c>
      <c r="C18">
        <v>1.9203777406467133E-2</v>
      </c>
      <c r="D18">
        <v>2.0755702542795695E-2</v>
      </c>
      <c r="E18">
        <v>6.3648349476022907E-3</v>
      </c>
      <c r="F18" s="5">
        <f>AVERAGE(Summarised_data!C18:E18)</f>
        <v>1.5441438298955038E-2</v>
      </c>
      <c r="G18" s="5">
        <f t="shared" si="0"/>
        <v>7.8987761207375082E-3</v>
      </c>
    </row>
    <row r="19" spans="1:7" x14ac:dyDescent="0.25">
      <c r="A19" s="5" t="s">
        <v>54</v>
      </c>
      <c r="B19" s="5">
        <v>0</v>
      </c>
      <c r="C19">
        <v>1</v>
      </c>
      <c r="D19">
        <v>1</v>
      </c>
      <c r="E19">
        <v>1</v>
      </c>
      <c r="F19" s="5">
        <f>AVERAGE(Summarised_data!C19:E19)</f>
        <v>1</v>
      </c>
      <c r="G19" s="5">
        <f t="shared" si="0"/>
        <v>0</v>
      </c>
    </row>
    <row r="20" spans="1:7" x14ac:dyDescent="0.25">
      <c r="A20" s="5" t="s">
        <v>54</v>
      </c>
      <c r="B20" s="5">
        <v>1</v>
      </c>
      <c r="C20">
        <v>0.58652803002734488</v>
      </c>
      <c r="D20">
        <v>0.5915787130506357</v>
      </c>
      <c r="E20">
        <v>0.60671357319414787</v>
      </c>
      <c r="F20" s="5">
        <f>AVERAGE(Summarised_data!C20:E20)</f>
        <v>0.59494010542404274</v>
      </c>
      <c r="G20" s="5">
        <f t="shared" si="0"/>
        <v>1.0504201885470231E-2</v>
      </c>
    </row>
    <row r="21" spans="1:7" x14ac:dyDescent="0.25">
      <c r="A21" s="5" t="s">
        <v>54</v>
      </c>
      <c r="B21" s="5">
        <v>3</v>
      </c>
      <c r="C21">
        <v>0.25139004167179491</v>
      </c>
      <c r="D21">
        <v>0.21565711962603279</v>
      </c>
      <c r="E21">
        <v>0.21981477020406712</v>
      </c>
      <c r="F21" s="5">
        <f>AVERAGE(Summarised_data!C21:E21)</f>
        <v>0.22895397716729826</v>
      </c>
      <c r="G21" s="5">
        <f t="shared" si="0"/>
        <v>1.9541091510448121E-2</v>
      </c>
    </row>
    <row r="22" spans="1:7" x14ac:dyDescent="0.25">
      <c r="A22" s="5" t="s">
        <v>54</v>
      </c>
      <c r="B22" s="5">
        <v>5</v>
      </c>
      <c r="C22">
        <v>0.10517942294637972</v>
      </c>
      <c r="D22">
        <v>9.8028773903761274E-2</v>
      </c>
      <c r="E22">
        <v>8.1917465254114294E-2</v>
      </c>
      <c r="F22" s="5">
        <f>AVERAGE(Summarised_data!C22:E22)</f>
        <v>9.5041887368085096E-2</v>
      </c>
      <c r="G22" s="5">
        <f t="shared" si="0"/>
        <v>1.1915149487183904E-2</v>
      </c>
    </row>
    <row r="23" spans="1:7" x14ac:dyDescent="0.25">
      <c r="A23" s="5" t="s">
        <v>54</v>
      </c>
      <c r="B23" s="5">
        <v>10</v>
      </c>
      <c r="C23">
        <v>2.595915298436216E-2</v>
      </c>
      <c r="D23">
        <v>2.6879745750446701E-2</v>
      </c>
      <c r="E23">
        <v>1.660076368671725E-2</v>
      </c>
      <c r="F23" s="5">
        <f>AVERAGE(Summarised_data!C23:E23)</f>
        <v>2.3146554140508702E-2</v>
      </c>
      <c r="G23" s="5">
        <f t="shared" si="0"/>
        <v>5.6874776710728672E-3</v>
      </c>
    </row>
    <row r="24" spans="1:7" x14ac:dyDescent="0.25">
      <c r="A24" s="5" t="s">
        <v>54</v>
      </c>
      <c r="B24" s="5">
        <v>30</v>
      </c>
      <c r="C24">
        <v>5.4241101041704893E-3</v>
      </c>
      <c r="D24">
        <v>8.5000930519567083E-3</v>
      </c>
      <c r="E24">
        <v>4.9803802235756601E-3</v>
      </c>
      <c r="F24" s="5">
        <f>AVERAGE(Summarised_data!C24:E24)</f>
        <v>6.3015277932342859E-3</v>
      </c>
      <c r="G24" s="5">
        <f t="shared" si="0"/>
        <v>1.9168961759519136E-3</v>
      </c>
    </row>
    <row r="25" spans="1:7" x14ac:dyDescent="0.25">
      <c r="A25" s="5" t="s">
        <v>54</v>
      </c>
      <c r="B25" s="5">
        <v>60</v>
      </c>
      <c r="C25">
        <v>1.9388852839459538E-3</v>
      </c>
      <c r="D25">
        <v>7.7205881442654741E-3</v>
      </c>
      <c r="E25">
        <v>5.2217949362117402E-3</v>
      </c>
      <c r="F25" s="5">
        <f>AVERAGE(Summarised_data!C25:E25)</f>
        <v>4.9604227881410558E-3</v>
      </c>
      <c r="G25" s="5">
        <f t="shared" si="0"/>
        <v>2.8996997329201238E-3</v>
      </c>
    </row>
    <row r="26" spans="1:7" x14ac:dyDescent="0.25">
      <c r="A26" s="5" t="s">
        <v>54</v>
      </c>
      <c r="B26" s="5">
        <v>120</v>
      </c>
      <c r="C26">
        <v>3.2031919723496323E-4</v>
      </c>
      <c r="D26">
        <v>4.976077613776028E-3</v>
      </c>
      <c r="E26">
        <v>2.8425872419375236E-3</v>
      </c>
      <c r="F26" s="5">
        <f>AVERAGE(Summarised_data!C26:E26)</f>
        <v>2.7129946843161717E-3</v>
      </c>
      <c r="G26" s="5">
        <f t="shared" si="0"/>
        <v>2.3305830346806717E-3</v>
      </c>
    </row>
    <row r="27" spans="1:7" x14ac:dyDescent="0.25">
      <c r="A27" s="5" t="s">
        <v>55</v>
      </c>
      <c r="B27" s="5">
        <v>0</v>
      </c>
      <c r="C27">
        <v>1</v>
      </c>
      <c r="D27">
        <v>1</v>
      </c>
      <c r="E27">
        <v>1</v>
      </c>
      <c r="F27" s="5">
        <f>AVERAGE(Summarised_data!C27:E27)</f>
        <v>1</v>
      </c>
      <c r="G27" s="5">
        <f t="shared" si="0"/>
        <v>0</v>
      </c>
    </row>
    <row r="28" spans="1:7" x14ac:dyDescent="0.25">
      <c r="A28" s="5" t="s">
        <v>55</v>
      </c>
      <c r="B28" s="5">
        <v>1</v>
      </c>
      <c r="C28">
        <v>0.82946056166638393</v>
      </c>
      <c r="D28">
        <v>0.85683657886028497</v>
      </c>
      <c r="E28">
        <v>0.85103256682036055</v>
      </c>
      <c r="F28" s="5">
        <f>AVERAGE(Summarised_data!C28:E28)</f>
        <v>0.84577656911567656</v>
      </c>
      <c r="G28" s="5">
        <f t="shared" si="0"/>
        <v>1.4425003059061178E-2</v>
      </c>
    </row>
    <row r="29" spans="1:7" x14ac:dyDescent="0.25">
      <c r="A29" s="5" t="s">
        <v>55</v>
      </c>
      <c r="B29" s="5">
        <v>3</v>
      </c>
      <c r="C29">
        <v>0.63538337205173745</v>
      </c>
      <c r="D29">
        <v>0.75611004222165212</v>
      </c>
      <c r="E29">
        <v>0.68231546769497975</v>
      </c>
      <c r="F29" s="5">
        <f>AVERAGE(Summarised_data!C29:E29)</f>
        <v>0.69126962732278974</v>
      </c>
      <c r="G29" s="5">
        <f t="shared" si="0"/>
        <v>6.0859386733346801E-2</v>
      </c>
    </row>
    <row r="30" spans="1:7" x14ac:dyDescent="0.25">
      <c r="A30" s="5" t="s">
        <v>55</v>
      </c>
      <c r="B30" s="5">
        <v>5</v>
      </c>
      <c r="C30">
        <v>0.55132356397613325</v>
      </c>
      <c r="D30">
        <v>0.65656638441273463</v>
      </c>
      <c r="E30">
        <v>0.53543309215317025</v>
      </c>
      <c r="F30" s="5">
        <f>AVERAGE(Summarised_data!C30:E30)</f>
        <v>0.58110768018067938</v>
      </c>
      <c r="G30" s="5">
        <f t="shared" si="0"/>
        <v>6.5830379058415656E-2</v>
      </c>
    </row>
    <row r="31" spans="1:7" x14ac:dyDescent="0.25">
      <c r="A31" s="5" t="s">
        <v>55</v>
      </c>
      <c r="B31" s="5">
        <v>10</v>
      </c>
      <c r="C31">
        <v>0.3956222598454664</v>
      </c>
      <c r="D31">
        <v>0.55358808515359326</v>
      </c>
      <c r="E31">
        <v>0.41606640654300076</v>
      </c>
      <c r="F31" s="5">
        <f>AVERAGE(Summarised_data!C31:E31)</f>
        <v>0.45509225051402008</v>
      </c>
      <c r="G31" s="5">
        <f t="shared" si="0"/>
        <v>8.5910202331022256E-2</v>
      </c>
    </row>
    <row r="32" spans="1:7" x14ac:dyDescent="0.25">
      <c r="A32" s="5" t="s">
        <v>55</v>
      </c>
      <c r="B32" s="5">
        <v>30</v>
      </c>
      <c r="C32">
        <v>0.25469940420989023</v>
      </c>
      <c r="D32">
        <v>0.35697494363824328</v>
      </c>
      <c r="E32">
        <v>0.24576298539566135</v>
      </c>
      <c r="F32" s="5">
        <f>AVERAGE(Summarised_data!C32:E32)</f>
        <v>0.28581244441459824</v>
      </c>
      <c r="G32" s="5">
        <f t="shared" si="0"/>
        <v>6.1790297516052625E-2</v>
      </c>
    </row>
    <row r="33" spans="1:7" x14ac:dyDescent="0.25">
      <c r="A33" s="5" t="s">
        <v>55</v>
      </c>
      <c r="B33" s="5">
        <v>60</v>
      </c>
      <c r="C33">
        <v>0.17642167944445936</v>
      </c>
      <c r="D33">
        <v>0.30325714498797435</v>
      </c>
      <c r="E33">
        <v>0.16889483960944462</v>
      </c>
      <c r="F33" s="5">
        <f>AVERAGE(Summarised_data!C33:E33)</f>
        <v>0.21619122134729277</v>
      </c>
      <c r="G33" s="5">
        <f t="shared" si="0"/>
        <v>7.5495162918091857E-2</v>
      </c>
    </row>
    <row r="34" spans="1:7" x14ac:dyDescent="0.25">
      <c r="A34" s="5" t="s">
        <v>55</v>
      </c>
      <c r="B34" s="5">
        <v>120</v>
      </c>
      <c r="C34">
        <v>0.1673689691697168</v>
      </c>
      <c r="D34">
        <v>0.29816441877543892</v>
      </c>
      <c r="E34">
        <v>0.17967238455582887</v>
      </c>
      <c r="F34" s="5">
        <f>AVERAGE(Summarised_data!C34:E34)</f>
        <v>0.21506859083366156</v>
      </c>
      <c r="G34" s="5">
        <f t="shared" si="0"/>
        <v>7.222555623557278E-2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G16" sqref="G16"/>
    </sheetView>
  </sheetViews>
  <sheetFormatPr defaultRowHeight="15" x14ac:dyDescent="0.25"/>
  <cols>
    <col min="1" max="4" width="9.140625" style="7"/>
  </cols>
  <sheetData>
    <row r="1" spans="1:4" x14ac:dyDescent="0.25">
      <c r="A1" s="7" t="s">
        <v>49</v>
      </c>
      <c r="B1" s="7" t="s">
        <v>50</v>
      </c>
      <c r="C1" s="7" t="s">
        <v>61</v>
      </c>
      <c r="D1" s="7" t="s">
        <v>62</v>
      </c>
    </row>
    <row r="2" spans="1:4" x14ac:dyDescent="0.25">
      <c r="A2" s="7" t="s">
        <v>52</v>
      </c>
      <c r="B2" s="7">
        <v>0</v>
      </c>
      <c r="C2" s="7">
        <v>1</v>
      </c>
      <c r="D2" s="7">
        <v>0</v>
      </c>
    </row>
    <row r="3" spans="1:4" x14ac:dyDescent="0.25">
      <c r="A3" s="7" t="s">
        <v>52</v>
      </c>
      <c r="B3" s="7">
        <v>1</v>
      </c>
      <c r="C3" s="7">
        <v>0.78645982444876195</v>
      </c>
      <c r="D3" s="7">
        <v>8.4169052783096512E-2</v>
      </c>
    </row>
    <row r="4" spans="1:4" x14ac:dyDescent="0.25">
      <c r="A4" s="7" t="s">
        <v>52</v>
      </c>
      <c r="B4" s="7">
        <v>3</v>
      </c>
      <c r="C4" s="7">
        <v>0.54278199167926555</v>
      </c>
      <c r="D4" s="7">
        <v>2.555480258748314E-2</v>
      </c>
    </row>
    <row r="5" spans="1:4" x14ac:dyDescent="0.25">
      <c r="A5" s="7" t="s">
        <v>52</v>
      </c>
      <c r="B5" s="7">
        <v>5</v>
      </c>
      <c r="C5" s="7">
        <v>0.38016478284234739</v>
      </c>
      <c r="D5" s="7">
        <v>1.6379535227163244E-2</v>
      </c>
    </row>
    <row r="6" spans="1:4" x14ac:dyDescent="0.25">
      <c r="A6" s="7" t="s">
        <v>52</v>
      </c>
      <c r="B6" s="7">
        <v>10</v>
      </c>
      <c r="C6" s="7">
        <v>0.20562417086394982</v>
      </c>
      <c r="D6" s="7">
        <v>1.6950298966395227E-2</v>
      </c>
    </row>
    <row r="7" spans="1:4" x14ac:dyDescent="0.25">
      <c r="A7" s="7" t="s">
        <v>52</v>
      </c>
      <c r="B7" s="7">
        <v>30</v>
      </c>
      <c r="C7" s="7">
        <v>8.3277928213359401E-2</v>
      </c>
      <c r="D7" s="7">
        <v>2.6476157989464785E-2</v>
      </c>
    </row>
    <row r="8" spans="1:4" x14ac:dyDescent="0.25">
      <c r="A8" s="7" t="s">
        <v>52</v>
      </c>
      <c r="B8" s="7">
        <v>60</v>
      </c>
      <c r="C8" s="7">
        <v>5.7839423859905821E-2</v>
      </c>
      <c r="D8" s="7">
        <v>1.4741768168203275E-2</v>
      </c>
    </row>
    <row r="9" spans="1:4" x14ac:dyDescent="0.25">
      <c r="A9" s="7" t="s">
        <v>52</v>
      </c>
      <c r="B9" s="7">
        <v>120</v>
      </c>
      <c r="C9" s="7">
        <v>6.1175070953153582E-2</v>
      </c>
      <c r="D9" s="7">
        <v>2.1254228331301868E-2</v>
      </c>
    </row>
    <row r="10" spans="1:4" x14ac:dyDescent="0.25">
      <c r="A10" s="7" t="s">
        <v>53</v>
      </c>
      <c r="B10" s="7">
        <v>0</v>
      </c>
      <c r="C10" s="7">
        <v>1</v>
      </c>
      <c r="D10" s="7">
        <v>0</v>
      </c>
    </row>
    <row r="11" spans="1:4" x14ac:dyDescent="0.25">
      <c r="A11" s="7" t="s">
        <v>53</v>
      </c>
      <c r="B11" s="7">
        <v>1</v>
      </c>
      <c r="C11" s="7">
        <v>0.732588742634949</v>
      </c>
      <c r="D11" s="7">
        <v>1.4875757541244384E-2</v>
      </c>
    </row>
    <row r="12" spans="1:4" x14ac:dyDescent="0.25">
      <c r="A12" s="7" t="s">
        <v>53</v>
      </c>
      <c r="B12" s="7">
        <v>3</v>
      </c>
      <c r="C12" s="7">
        <v>0.45809051873490542</v>
      </c>
      <c r="D12" s="7">
        <v>1.6055230032160982E-2</v>
      </c>
    </row>
    <row r="13" spans="1:4" x14ac:dyDescent="0.25">
      <c r="A13" s="7" t="s">
        <v>53</v>
      </c>
      <c r="B13" s="7">
        <v>5</v>
      </c>
      <c r="C13" s="7">
        <v>0.29968099189862851</v>
      </c>
      <c r="D13" s="7">
        <v>3.0307707897848472E-2</v>
      </c>
    </row>
    <row r="14" spans="1:4" x14ac:dyDescent="0.25">
      <c r="A14" s="7" t="s">
        <v>53</v>
      </c>
      <c r="B14" s="7">
        <v>10</v>
      </c>
      <c r="C14" s="7">
        <v>0.15110383902315208</v>
      </c>
      <c r="D14" s="7">
        <v>2.0155732115505254E-2</v>
      </c>
    </row>
    <row r="15" spans="1:4" x14ac:dyDescent="0.25">
      <c r="A15" s="7" t="s">
        <v>53</v>
      </c>
      <c r="B15" s="7">
        <v>30</v>
      </c>
      <c r="C15" s="7">
        <v>3.8928876094861307E-2</v>
      </c>
      <c r="D15" s="7">
        <v>1.2905803226152391E-2</v>
      </c>
    </row>
    <row r="16" spans="1:4" x14ac:dyDescent="0.25">
      <c r="A16" s="7" t="s">
        <v>53</v>
      </c>
      <c r="B16" s="7">
        <v>60</v>
      </c>
      <c r="C16" s="7">
        <v>1.7676676528931626E-2</v>
      </c>
      <c r="D16" s="7">
        <v>9.1074949564965996E-3</v>
      </c>
    </row>
    <row r="17" spans="1:4" x14ac:dyDescent="0.25">
      <c r="A17" s="7" t="s">
        <v>53</v>
      </c>
      <c r="B17" s="7">
        <v>120</v>
      </c>
      <c r="C17" s="7">
        <v>1.5441438298955038E-2</v>
      </c>
      <c r="D17" s="7">
        <v>7.8987761207375082E-3</v>
      </c>
    </row>
    <row r="18" spans="1:4" x14ac:dyDescent="0.25">
      <c r="A18" s="7" t="s">
        <v>54</v>
      </c>
      <c r="B18" s="7">
        <v>0</v>
      </c>
      <c r="C18" s="7">
        <v>1</v>
      </c>
      <c r="D18" s="7">
        <v>0</v>
      </c>
    </row>
    <row r="19" spans="1:4" x14ac:dyDescent="0.25">
      <c r="A19" s="7" t="s">
        <v>54</v>
      </c>
      <c r="B19" s="7">
        <v>1</v>
      </c>
      <c r="C19" s="7">
        <v>0.59494010542404274</v>
      </c>
      <c r="D19" s="7">
        <v>1.0504201885470231E-2</v>
      </c>
    </row>
    <row r="20" spans="1:4" x14ac:dyDescent="0.25">
      <c r="A20" s="7" t="s">
        <v>54</v>
      </c>
      <c r="B20" s="7">
        <v>3</v>
      </c>
      <c r="C20" s="7">
        <v>0.22895397716729826</v>
      </c>
      <c r="D20" s="7">
        <v>1.9541091510448121E-2</v>
      </c>
    </row>
    <row r="21" spans="1:4" x14ac:dyDescent="0.25">
      <c r="A21" s="7" t="s">
        <v>54</v>
      </c>
      <c r="B21" s="7">
        <v>5</v>
      </c>
      <c r="C21" s="7">
        <v>9.5041887368085096E-2</v>
      </c>
      <c r="D21" s="7">
        <v>1.1915149487183904E-2</v>
      </c>
    </row>
    <row r="22" spans="1:4" x14ac:dyDescent="0.25">
      <c r="A22" s="7" t="s">
        <v>54</v>
      </c>
      <c r="B22" s="7">
        <v>10</v>
      </c>
      <c r="C22" s="7">
        <v>2.3146554140508702E-2</v>
      </c>
      <c r="D22" s="7">
        <v>5.6874776710728672E-3</v>
      </c>
    </row>
    <row r="23" spans="1:4" x14ac:dyDescent="0.25">
      <c r="A23" s="7" t="s">
        <v>54</v>
      </c>
      <c r="B23" s="7">
        <v>30</v>
      </c>
      <c r="C23" s="7">
        <v>6.3015277932342859E-3</v>
      </c>
      <c r="D23" s="7">
        <v>1.9168961759519136E-3</v>
      </c>
    </row>
    <row r="24" spans="1:4" x14ac:dyDescent="0.25">
      <c r="A24" s="7" t="s">
        <v>54</v>
      </c>
      <c r="B24" s="7">
        <v>60</v>
      </c>
      <c r="C24" s="7">
        <v>4.9604227881410558E-3</v>
      </c>
      <c r="D24" s="7">
        <v>2.8996997329201238E-3</v>
      </c>
    </row>
    <row r="25" spans="1:4" x14ac:dyDescent="0.25">
      <c r="A25" s="7" t="s">
        <v>54</v>
      </c>
      <c r="B25" s="7">
        <v>120</v>
      </c>
      <c r="C25" s="7">
        <v>2.7129946843161717E-3</v>
      </c>
      <c r="D25" s="7">
        <v>2.3305830346806717E-3</v>
      </c>
    </row>
    <row r="26" spans="1:4" x14ac:dyDescent="0.25">
      <c r="A26" s="7" t="s">
        <v>55</v>
      </c>
      <c r="B26" s="7">
        <v>0</v>
      </c>
      <c r="C26" s="7">
        <v>1</v>
      </c>
      <c r="D26" s="7">
        <v>0</v>
      </c>
    </row>
    <row r="27" spans="1:4" x14ac:dyDescent="0.25">
      <c r="A27" s="7" t="s">
        <v>55</v>
      </c>
      <c r="B27" s="7">
        <v>1</v>
      </c>
      <c r="C27" s="7">
        <v>0.84577656911567656</v>
      </c>
      <c r="D27" s="7">
        <v>1.4425003059061178E-2</v>
      </c>
    </row>
    <row r="28" spans="1:4" x14ac:dyDescent="0.25">
      <c r="A28" s="7" t="s">
        <v>55</v>
      </c>
      <c r="B28" s="7">
        <v>3</v>
      </c>
      <c r="C28" s="7">
        <v>0.69126962732278974</v>
      </c>
      <c r="D28" s="7">
        <v>6.0859386733346801E-2</v>
      </c>
    </row>
    <row r="29" spans="1:4" x14ac:dyDescent="0.25">
      <c r="A29" s="7" t="s">
        <v>55</v>
      </c>
      <c r="B29" s="7">
        <v>5</v>
      </c>
      <c r="C29" s="7">
        <v>0.58110768018067938</v>
      </c>
      <c r="D29" s="7">
        <v>6.5830379058415656E-2</v>
      </c>
    </row>
    <row r="30" spans="1:4" x14ac:dyDescent="0.25">
      <c r="A30" s="7" t="s">
        <v>55</v>
      </c>
      <c r="B30" s="7">
        <v>10</v>
      </c>
      <c r="C30" s="7">
        <v>0.45509225051402008</v>
      </c>
      <c r="D30" s="7">
        <v>8.5910202331022256E-2</v>
      </c>
    </row>
    <row r="31" spans="1:4" x14ac:dyDescent="0.25">
      <c r="A31" s="7" t="s">
        <v>55</v>
      </c>
      <c r="B31" s="7">
        <v>30</v>
      </c>
      <c r="C31" s="7">
        <v>0.28581244441459824</v>
      </c>
      <c r="D31" s="7">
        <v>6.1790297516052625E-2</v>
      </c>
    </row>
    <row r="32" spans="1:4" x14ac:dyDescent="0.25">
      <c r="A32" s="7" t="s">
        <v>55</v>
      </c>
      <c r="B32" s="7">
        <v>60</v>
      </c>
      <c r="C32" s="7">
        <v>0.21619122134729277</v>
      </c>
      <c r="D32" s="7">
        <v>7.5495162918091857E-2</v>
      </c>
    </row>
    <row r="33" spans="1:4" x14ac:dyDescent="0.25">
      <c r="A33" s="7" t="s">
        <v>55</v>
      </c>
      <c r="B33" s="7">
        <v>120</v>
      </c>
      <c r="C33" s="7">
        <v>0.21506859083366156</v>
      </c>
      <c r="D33" s="7">
        <v>7.222555623557278E-2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R1</vt:lpstr>
      <vt:lpstr>R2</vt:lpstr>
      <vt:lpstr>R3</vt:lpstr>
      <vt:lpstr>Summarised_data</vt:lpstr>
      <vt:lpstr>Data_for_plot</vt:lpstr>
    </vt:vector>
  </TitlesOfParts>
  <Company>MPI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Wolfram-Schauerte Maik</dc:creator>
  <cp:lastModifiedBy>Wolfram-Schauerte Maik</cp:lastModifiedBy>
  <dcterms:created xsi:type="dcterms:W3CDTF">2023-05-18T12:27:13Z</dcterms:created>
  <dcterms:modified xsi:type="dcterms:W3CDTF">2023-05-18T13:01:42Z</dcterms:modified>
</cp:coreProperties>
</file>