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Secondary_structure_tests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3" i="1"/>
  <c r="E14" i="1"/>
  <c r="E13" i="1"/>
</calcChain>
</file>

<file path=xl/sharedStrings.xml><?xml version="1.0" encoding="utf-8"?>
<sst xmlns="http://schemas.openxmlformats.org/spreadsheetml/2006/main" count="61" uniqueCount="33">
  <si>
    <t>2023-08-31_20%-APB</t>
  </si>
  <si>
    <t>No.</t>
  </si>
  <si>
    <t>Label</t>
  </si>
  <si>
    <t>Type</t>
  </si>
  <si>
    <t>Volume (Int)</t>
  </si>
  <si>
    <t>Adj. Vol. (Int)</t>
  </si>
  <si>
    <t>Mean Bkgd. (Int)</t>
  </si>
  <si>
    <t>Abs. Quant.</t>
  </si>
  <si>
    <t>Rel. Quant.</t>
  </si>
  <si>
    <t># of Pixels</t>
  </si>
  <si>
    <t>Min. Value (Int)</t>
  </si>
  <si>
    <t>Max. Value (Int)</t>
  </si>
  <si>
    <t>Mean Value (Int)</t>
  </si>
  <si>
    <t>Std. Dev.</t>
  </si>
  <si>
    <t>Area (mm2)</t>
  </si>
  <si>
    <t>U1</t>
  </si>
  <si>
    <t>Unknown</t>
  </si>
  <si>
    <t>N/A</t>
  </si>
  <si>
    <t>U2</t>
  </si>
  <si>
    <t>U3</t>
  </si>
  <si>
    <t>U4</t>
  </si>
  <si>
    <t>U5</t>
  </si>
  <si>
    <t>U6</t>
  </si>
  <si>
    <t>U7</t>
  </si>
  <si>
    <t>U8</t>
  </si>
  <si>
    <t>P total</t>
  </si>
  <si>
    <t>NAD total</t>
  </si>
  <si>
    <t>P fraction</t>
  </si>
  <si>
    <t>NAD fraction</t>
  </si>
  <si>
    <t>MS219</t>
  </si>
  <si>
    <t>MS220</t>
  </si>
  <si>
    <t>Total RNA conc. [µM]</t>
  </si>
  <si>
    <t>NAD-capped conc. [µM]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</si>
</sst>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G21" sqref="G21"/>
    </sheetView>
  </sheetViews>
  <sheetFormatPr defaultRowHeight="15" x14ac:dyDescent="0.25"/>
  <cols>
    <col min="4" max="4" width="20.140625" customWidth="1"/>
    <col min="5" max="5" width="19.42578125" customWidth="1"/>
    <col min="6" max="6" width="22.7109375" customWidth="1"/>
    <col min="7" max="7" width="11.5703125" customWidth="1"/>
    <col min="8" max="8" width="14" customWidth="1"/>
    <col min="9" max="9" width="16" customWidth="1"/>
    <col min="10" max="10" width="15.28515625" customWidth="1"/>
    <col min="11" max="11" width="15.85546875" customWidth="1"/>
    <col min="12" max="12" width="19.28515625" customWidth="1"/>
    <col min="14" max="14" width="12.85546875" customWidth="1"/>
    <col min="16" max="16" width="14.5703125" customWidth="1"/>
  </cols>
  <sheetData>
    <row r="1" spans="1:17" x14ac:dyDescent="0.25">
      <c r="A1" t="s">
        <v>0</v>
      </c>
    </row>
    <row r="2" spans="1:1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7" x14ac:dyDescent="0.25">
      <c r="A3">
        <v>1</v>
      </c>
      <c r="B3" t="s">
        <v>15</v>
      </c>
      <c r="C3" t="s">
        <v>16</v>
      </c>
      <c r="D3" s="1">
        <v>165305452</v>
      </c>
      <c r="E3" s="1">
        <v>99182728.162879005</v>
      </c>
      <c r="F3">
        <v>333.80984799999999</v>
      </c>
      <c r="G3" t="s">
        <v>17</v>
      </c>
      <c r="H3" t="s">
        <v>17</v>
      </c>
      <c r="I3">
        <v>198085</v>
      </c>
      <c r="J3">
        <v>247</v>
      </c>
      <c r="K3" s="1">
        <v>40287</v>
      </c>
      <c r="L3">
        <v>834.51776800000005</v>
      </c>
      <c r="M3" s="1">
        <v>3137.4058930000001</v>
      </c>
      <c r="N3">
        <v>264.10483399999998</v>
      </c>
      <c r="P3" s="2" t="s">
        <v>25</v>
      </c>
      <c r="Q3" s="3" t="s">
        <v>29</v>
      </c>
    </row>
    <row r="4" spans="1:17" x14ac:dyDescent="0.25">
      <c r="A4">
        <v>2</v>
      </c>
      <c r="B4" t="s">
        <v>18</v>
      </c>
      <c r="C4" t="s">
        <v>16</v>
      </c>
      <c r="D4" s="1">
        <v>171921333</v>
      </c>
      <c r="E4" s="1">
        <v>104472874.378947</v>
      </c>
      <c r="F4">
        <v>349.66954900000002</v>
      </c>
      <c r="G4" t="s">
        <v>17</v>
      </c>
      <c r="H4" t="s">
        <v>17</v>
      </c>
      <c r="I4">
        <v>192892</v>
      </c>
      <c r="J4">
        <v>255</v>
      </c>
      <c r="K4" s="1">
        <v>24827</v>
      </c>
      <c r="L4">
        <v>891.28285800000003</v>
      </c>
      <c r="M4" s="1">
        <v>2089.0071870000002</v>
      </c>
      <c r="N4">
        <v>257.18105700000001</v>
      </c>
      <c r="P4" s="2" t="s">
        <v>26</v>
      </c>
      <c r="Q4" s="3"/>
    </row>
    <row r="5" spans="1:17" x14ac:dyDescent="0.25">
      <c r="A5">
        <v>3</v>
      </c>
      <c r="B5" t="s">
        <v>19</v>
      </c>
      <c r="C5" t="s">
        <v>16</v>
      </c>
      <c r="D5" s="1">
        <v>66879848</v>
      </c>
      <c r="E5" s="1">
        <v>57592424.903765999</v>
      </c>
      <c r="F5">
        <v>801.19246899999996</v>
      </c>
      <c r="G5" t="s">
        <v>17</v>
      </c>
      <c r="H5" t="s">
        <v>17</v>
      </c>
      <c r="I5">
        <v>11592</v>
      </c>
      <c r="J5">
        <v>304</v>
      </c>
      <c r="K5" s="1">
        <v>24827</v>
      </c>
      <c r="L5" s="1">
        <v>5769.4830920000004</v>
      </c>
      <c r="M5" s="1">
        <v>6399.0042020000001</v>
      </c>
      <c r="N5">
        <v>15.455503</v>
      </c>
      <c r="P5" s="2" t="s">
        <v>27</v>
      </c>
      <c r="Q5" s="3"/>
    </row>
    <row r="6" spans="1:17" x14ac:dyDescent="0.25">
      <c r="A6">
        <v>4</v>
      </c>
      <c r="B6" t="s">
        <v>20</v>
      </c>
      <c r="C6" t="s">
        <v>16</v>
      </c>
      <c r="D6" s="1">
        <v>20118467</v>
      </c>
      <c r="E6" s="1">
        <v>14796239.186667001</v>
      </c>
      <c r="F6">
        <v>562.48444400000005</v>
      </c>
      <c r="G6" t="s">
        <v>17</v>
      </c>
      <c r="H6" t="s">
        <v>17</v>
      </c>
      <c r="I6">
        <v>9462</v>
      </c>
      <c r="J6">
        <v>292</v>
      </c>
      <c r="K6" s="1">
        <v>6416</v>
      </c>
      <c r="L6" s="1">
        <v>2126.2383220000002</v>
      </c>
      <c r="M6" s="1">
        <v>1680.9451730000001</v>
      </c>
      <c r="N6">
        <v>12.615594</v>
      </c>
      <c r="P6" s="2" t="s">
        <v>28</v>
      </c>
      <c r="Q6" s="3"/>
    </row>
    <row r="7" spans="1:17" x14ac:dyDescent="0.25">
      <c r="A7">
        <v>5</v>
      </c>
      <c r="B7" t="s">
        <v>21</v>
      </c>
      <c r="C7" t="s">
        <v>16</v>
      </c>
      <c r="D7" s="1">
        <v>227275543</v>
      </c>
      <c r="E7" s="1">
        <v>151505029.21212101</v>
      </c>
      <c r="F7">
        <v>382.515152</v>
      </c>
      <c r="G7" t="s">
        <v>17</v>
      </c>
      <c r="H7" t="s">
        <v>17</v>
      </c>
      <c r="I7">
        <v>198085</v>
      </c>
      <c r="J7">
        <v>262</v>
      </c>
      <c r="K7" s="1">
        <v>52359</v>
      </c>
      <c r="L7" s="1">
        <v>1147.3637229999999</v>
      </c>
      <c r="M7" s="1">
        <v>4396.3413039999996</v>
      </c>
      <c r="N7">
        <v>264.10483399999998</v>
      </c>
      <c r="P7" s="2" t="s">
        <v>25</v>
      </c>
      <c r="Q7" s="3" t="s">
        <v>30</v>
      </c>
    </row>
    <row r="8" spans="1:17" x14ac:dyDescent="0.25">
      <c r="A8">
        <v>6</v>
      </c>
      <c r="B8" t="s">
        <v>22</v>
      </c>
      <c r="C8" t="s">
        <v>16</v>
      </c>
      <c r="D8" s="1">
        <v>149209091</v>
      </c>
      <c r="E8" s="1">
        <v>83046554.873684004</v>
      </c>
      <c r="F8">
        <v>343.00300800000002</v>
      </c>
      <c r="G8" t="s">
        <v>17</v>
      </c>
      <c r="H8" t="s">
        <v>17</v>
      </c>
      <c r="I8">
        <v>192892</v>
      </c>
      <c r="J8">
        <v>264</v>
      </c>
      <c r="K8" s="1">
        <v>13168</v>
      </c>
      <c r="L8">
        <v>773.53695900000002</v>
      </c>
      <c r="M8" s="1">
        <v>1123.4351240000001</v>
      </c>
      <c r="N8">
        <v>257.18105700000001</v>
      </c>
      <c r="P8" s="2" t="s">
        <v>26</v>
      </c>
      <c r="Q8" s="3"/>
    </row>
    <row r="9" spans="1:17" x14ac:dyDescent="0.25">
      <c r="A9">
        <v>7</v>
      </c>
      <c r="B9" t="s">
        <v>23</v>
      </c>
      <c r="C9" t="s">
        <v>16</v>
      </c>
      <c r="D9" s="1">
        <v>32431774</v>
      </c>
      <c r="E9" s="1">
        <v>25718817.698745001</v>
      </c>
      <c r="F9">
        <v>579.10251000000005</v>
      </c>
      <c r="G9" t="s">
        <v>17</v>
      </c>
      <c r="H9" t="s">
        <v>17</v>
      </c>
      <c r="I9">
        <v>11592</v>
      </c>
      <c r="J9">
        <v>287</v>
      </c>
      <c r="K9" s="1">
        <v>12150</v>
      </c>
      <c r="L9" s="1">
        <v>2797.7720840000002</v>
      </c>
      <c r="M9" s="1">
        <v>3049.4500899999998</v>
      </c>
      <c r="N9">
        <v>15.455503</v>
      </c>
      <c r="P9" s="2" t="s">
        <v>27</v>
      </c>
      <c r="Q9" s="3"/>
    </row>
    <row r="10" spans="1:17" x14ac:dyDescent="0.25">
      <c r="A10">
        <v>8</v>
      </c>
      <c r="B10" t="s">
        <v>24</v>
      </c>
      <c r="C10" t="s">
        <v>16</v>
      </c>
      <c r="D10" s="1">
        <v>11060483</v>
      </c>
      <c r="E10" s="1">
        <v>6869405.7466670005</v>
      </c>
      <c r="F10">
        <v>442.93777799999998</v>
      </c>
      <c r="G10" t="s">
        <v>17</v>
      </c>
      <c r="H10" t="s">
        <v>17</v>
      </c>
      <c r="I10">
        <v>9462</v>
      </c>
      <c r="J10">
        <v>281</v>
      </c>
      <c r="K10" s="1">
        <v>3000</v>
      </c>
      <c r="L10" s="1">
        <v>1168.9371169999999</v>
      </c>
      <c r="M10">
        <v>727.68042500000001</v>
      </c>
      <c r="N10">
        <v>12.615594</v>
      </c>
      <c r="P10" s="2" t="s">
        <v>28</v>
      </c>
      <c r="Q10" s="3"/>
    </row>
    <row r="12" spans="1:17" x14ac:dyDescent="0.25">
      <c r="D12" s="4"/>
      <c r="E12" s="4" t="s">
        <v>31</v>
      </c>
      <c r="F12" s="4" t="s">
        <v>32</v>
      </c>
    </row>
    <row r="13" spans="1:17" x14ac:dyDescent="0.25">
      <c r="D13" s="4" t="s">
        <v>29</v>
      </c>
      <c r="E13" s="5">
        <f>20/E3*E4</f>
        <v>21.066747469857951</v>
      </c>
      <c r="F13" s="5">
        <f>E6/(E5+E6)*E13</f>
        <v>4.3060420905091137</v>
      </c>
    </row>
    <row r="14" spans="1:17" x14ac:dyDescent="0.25">
      <c r="D14" s="4" t="s">
        <v>30</v>
      </c>
      <c r="E14" s="5">
        <f>20/E7*E8</f>
        <v>10.962877642485539</v>
      </c>
      <c r="F14" s="5">
        <f>E10/(E10+E9)*E14</f>
        <v>2.3109100992708393</v>
      </c>
    </row>
  </sheetData>
  <mergeCells count="2">
    <mergeCell ref="Q3:Q6"/>
    <mergeCell ref="Q7:Q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2023-09-25T08:59:09Z</dcterms:created>
  <dcterms:modified xsi:type="dcterms:W3CDTF">2023-09-25T09:11:50Z</dcterms:modified>
</cp:coreProperties>
</file>